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sers\atyndall\Dropbox\Uni\Units\CITS5502 Software Processes\Assignment 2\"/>
    </mc:Choice>
  </mc:AlternateContent>
  <bookViews>
    <workbookView minimized="1" xWindow="0" yWindow="0" windowWidth="24024" windowHeight="14904" firstSheet="1" activeTab="1"/>
  </bookViews>
  <sheets>
    <sheet name="Core Data" sheetId="1" r:id="rId1"/>
    <sheet name="Ema Emi Hma Hmi" sheetId="2" r:id="rId2"/>
  </sheets>
  <definedNames>
    <definedName name="solver_adj" localSheetId="1" hidden="1">'Ema Emi Hma Hmi'!$AI$49:$AJ$49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'Ema Emi Hma Hmi'!$AH$49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2" l="1"/>
  <c r="H6" i="2"/>
  <c r="M6" i="2"/>
  <c r="R6" i="2"/>
  <c r="C7" i="2"/>
  <c r="H7" i="2"/>
  <c r="M7" i="2"/>
  <c r="R7" i="2"/>
  <c r="C8" i="2"/>
  <c r="H8" i="2"/>
  <c r="M8" i="2"/>
  <c r="R8" i="2"/>
  <c r="C9" i="2"/>
  <c r="H9" i="2"/>
  <c r="M9" i="2"/>
  <c r="R9" i="2"/>
  <c r="C10" i="2"/>
  <c r="H10" i="2"/>
  <c r="M10" i="2"/>
  <c r="R10" i="2"/>
  <c r="C11" i="2"/>
  <c r="H11" i="2"/>
  <c r="M11" i="2"/>
  <c r="R11" i="2"/>
  <c r="C12" i="2"/>
  <c r="H12" i="2"/>
  <c r="M12" i="2"/>
  <c r="R12" i="2"/>
  <c r="C13" i="2"/>
  <c r="H13" i="2"/>
  <c r="M13" i="2"/>
  <c r="R13" i="2"/>
  <c r="C14" i="2"/>
  <c r="H14" i="2"/>
  <c r="M14" i="2"/>
  <c r="R14" i="2"/>
  <c r="C15" i="2"/>
  <c r="H15" i="2"/>
  <c r="M15" i="2"/>
  <c r="R15" i="2"/>
  <c r="C16" i="2"/>
  <c r="H16" i="2"/>
  <c r="M16" i="2"/>
  <c r="R16" i="2"/>
  <c r="C17" i="2"/>
  <c r="H17" i="2"/>
  <c r="M17" i="2"/>
  <c r="R17" i="2"/>
  <c r="C18" i="2"/>
  <c r="H18" i="2"/>
  <c r="M18" i="2"/>
  <c r="R18" i="2"/>
  <c r="C19" i="2"/>
  <c r="H19" i="2"/>
  <c r="M19" i="2"/>
  <c r="R19" i="2"/>
  <c r="C20" i="2"/>
  <c r="H20" i="2"/>
  <c r="M20" i="2"/>
  <c r="R20" i="2"/>
  <c r="C21" i="2"/>
  <c r="H21" i="2"/>
  <c r="M21" i="2"/>
  <c r="R21" i="2"/>
  <c r="C22" i="2"/>
  <c r="H22" i="2"/>
  <c r="M22" i="2"/>
  <c r="R22" i="2"/>
  <c r="C23" i="2"/>
  <c r="H23" i="2"/>
  <c r="M23" i="2"/>
  <c r="R23" i="2"/>
  <c r="C24" i="2"/>
  <c r="H24" i="2"/>
  <c r="M24" i="2"/>
  <c r="R24" i="2"/>
  <c r="C25" i="2"/>
  <c r="H25" i="2"/>
  <c r="M25" i="2"/>
  <c r="R25" i="2"/>
  <c r="D7" i="2"/>
  <c r="C3" i="2"/>
  <c r="I7" i="2"/>
  <c r="H3" i="2"/>
  <c r="N7" i="2"/>
  <c r="M3" i="2"/>
  <c r="S7" i="2"/>
  <c r="R3" i="2"/>
  <c r="D8" i="2"/>
  <c r="E8" i="2" s="1"/>
  <c r="I8" i="2"/>
  <c r="N8" i="2"/>
  <c r="O8" i="2" s="1"/>
  <c r="S8" i="2"/>
  <c r="T8" i="2" s="1"/>
  <c r="D9" i="2"/>
  <c r="I9" i="2"/>
  <c r="N9" i="2"/>
  <c r="S9" i="2"/>
  <c r="D10" i="2"/>
  <c r="I10" i="2"/>
  <c r="N10" i="2"/>
  <c r="O10" i="2" s="1"/>
  <c r="S10" i="2"/>
  <c r="T10" i="2" s="1"/>
  <c r="D11" i="2"/>
  <c r="E11" i="2" s="1"/>
  <c r="I11" i="2"/>
  <c r="N11" i="2"/>
  <c r="S11" i="2"/>
  <c r="D12" i="2"/>
  <c r="I12" i="2"/>
  <c r="J12" i="2" s="1"/>
  <c r="N12" i="2"/>
  <c r="S12" i="2"/>
  <c r="T12" i="2" s="1"/>
  <c r="D13" i="2"/>
  <c r="I13" i="2"/>
  <c r="N13" i="2"/>
  <c r="S13" i="2"/>
  <c r="D14" i="2"/>
  <c r="I14" i="2"/>
  <c r="N14" i="2"/>
  <c r="S14" i="2"/>
  <c r="D15" i="2"/>
  <c r="I15" i="2"/>
  <c r="N15" i="2"/>
  <c r="S15" i="2"/>
  <c r="D16" i="2"/>
  <c r="I16" i="2"/>
  <c r="J16" i="2" s="1"/>
  <c r="N16" i="2"/>
  <c r="S16" i="2"/>
  <c r="T16" i="2" s="1"/>
  <c r="D17" i="2"/>
  <c r="I17" i="2"/>
  <c r="N17" i="2"/>
  <c r="S17" i="2"/>
  <c r="D18" i="2"/>
  <c r="E18" i="2" s="1"/>
  <c r="I18" i="2"/>
  <c r="N18" i="2"/>
  <c r="S18" i="2"/>
  <c r="T18" i="2" s="1"/>
  <c r="D19" i="2"/>
  <c r="I19" i="2"/>
  <c r="N19" i="2"/>
  <c r="S19" i="2"/>
  <c r="D20" i="2"/>
  <c r="E20" i="2" s="1"/>
  <c r="I20" i="2"/>
  <c r="J20" i="2" s="1"/>
  <c r="N20" i="2"/>
  <c r="S20" i="2"/>
  <c r="D21" i="2"/>
  <c r="I21" i="2"/>
  <c r="N21" i="2"/>
  <c r="S21" i="2"/>
  <c r="D22" i="2"/>
  <c r="I22" i="2"/>
  <c r="J22" i="2" s="1"/>
  <c r="N22" i="2"/>
  <c r="O22" i="2" s="1"/>
  <c r="S22" i="2"/>
  <c r="D23" i="2"/>
  <c r="I23" i="2"/>
  <c r="N23" i="2"/>
  <c r="S23" i="2"/>
  <c r="D24" i="2"/>
  <c r="I24" i="2"/>
  <c r="J24" i="2" s="1"/>
  <c r="N24" i="2"/>
  <c r="S24" i="2"/>
  <c r="D25" i="2"/>
  <c r="E25" i="2" s="1"/>
  <c r="I25" i="2"/>
  <c r="N25" i="2"/>
  <c r="S25" i="2"/>
  <c r="D6" i="2"/>
  <c r="I6" i="2"/>
  <c r="J6" i="2" s="1"/>
  <c r="N6" i="2"/>
  <c r="O6" i="2" s="1"/>
  <c r="P6" i="2" s="1"/>
  <c r="P30" i="2" s="1"/>
  <c r="S6" i="2"/>
  <c r="T6" i="2" s="1"/>
  <c r="U6" i="2" s="1"/>
  <c r="U30" i="2" s="1"/>
  <c r="E3" i="2"/>
  <c r="T3" i="2"/>
  <c r="O3" i="2"/>
  <c r="J3" i="2"/>
  <c r="E12" i="2"/>
  <c r="AP123" i="2"/>
  <c r="J8" i="2"/>
  <c r="J10" i="2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/>
  <c r="D27" i="1"/>
  <c r="D28" i="1"/>
  <c r="C27" i="1"/>
  <c r="C28" i="1"/>
  <c r="E27" i="1"/>
  <c r="E28" i="1"/>
  <c r="F27" i="1"/>
  <c r="F28" i="1"/>
  <c r="H28" i="1"/>
  <c r="H27" i="1"/>
  <c r="J18" i="2" l="1"/>
  <c r="J14" i="2"/>
  <c r="J7" i="2"/>
  <c r="T25" i="2"/>
  <c r="T23" i="2"/>
  <c r="T21" i="2"/>
  <c r="W18" i="2"/>
  <c r="X15" i="2"/>
  <c r="J23" i="2"/>
  <c r="J19" i="2"/>
  <c r="T19" i="2"/>
  <c r="E9" i="2"/>
  <c r="W10" i="2"/>
  <c r="T13" i="2"/>
  <c r="T11" i="2"/>
  <c r="O25" i="2"/>
  <c r="O23" i="2"/>
  <c r="O21" i="2"/>
  <c r="X9" i="2"/>
  <c r="X20" i="2"/>
  <c r="X18" i="2"/>
  <c r="O17" i="2"/>
  <c r="T9" i="2"/>
  <c r="T7" i="2"/>
  <c r="U8" i="2" s="1"/>
  <c r="U32" i="2" s="1"/>
  <c r="T24" i="2"/>
  <c r="T20" i="2"/>
  <c r="E17" i="2"/>
  <c r="X25" i="2"/>
  <c r="X23" i="2"/>
  <c r="K7" i="2"/>
  <c r="K31" i="2" s="1"/>
  <c r="W21" i="2"/>
  <c r="E19" i="2"/>
  <c r="J17" i="2"/>
  <c r="J15" i="2"/>
  <c r="J13" i="2"/>
  <c r="J11" i="2"/>
  <c r="O9" i="2"/>
  <c r="Z7" i="2"/>
  <c r="W11" i="2"/>
  <c r="F59" i="2" s="1"/>
  <c r="Z17" i="2"/>
  <c r="Z16" i="2"/>
  <c r="Z14" i="2"/>
  <c r="X12" i="2"/>
  <c r="X10" i="2"/>
  <c r="O24" i="2"/>
  <c r="X6" i="2"/>
  <c r="X17" i="2"/>
  <c r="O16" i="2"/>
  <c r="O14" i="2"/>
  <c r="W12" i="2"/>
  <c r="J21" i="2"/>
  <c r="O15" i="2"/>
  <c r="O13" i="2"/>
  <c r="E22" i="2"/>
  <c r="Z25" i="2"/>
  <c r="X19" i="2"/>
  <c r="X22" i="2"/>
  <c r="X11" i="2"/>
  <c r="J25" i="2"/>
  <c r="T17" i="2"/>
  <c r="E10" i="2"/>
  <c r="Z23" i="2"/>
  <c r="X21" i="2"/>
  <c r="Z11" i="2"/>
  <c r="W20" i="2"/>
  <c r="J9" i="2"/>
  <c r="W15" i="2"/>
  <c r="Z19" i="2"/>
  <c r="Z9" i="2"/>
  <c r="Z20" i="2"/>
  <c r="W24" i="2"/>
  <c r="W9" i="2"/>
  <c r="W7" i="2"/>
  <c r="Z6" i="2"/>
  <c r="Z15" i="2"/>
  <c r="X13" i="2"/>
  <c r="E7" i="2"/>
  <c r="O18" i="2"/>
  <c r="X14" i="2"/>
  <c r="O7" i="2"/>
  <c r="P7" i="2" s="1"/>
  <c r="P31" i="2" s="1"/>
  <c r="W16" i="2"/>
  <c r="E14" i="2"/>
  <c r="Z8" i="2"/>
  <c r="X8" i="2"/>
  <c r="E24" i="2"/>
  <c r="E16" i="2"/>
  <c r="Z24" i="2"/>
  <c r="Z22" i="2"/>
  <c r="Z18" i="2"/>
  <c r="Z12" i="2"/>
  <c r="T15" i="2"/>
  <c r="W17" i="2"/>
  <c r="E15" i="2"/>
  <c r="Z10" i="2"/>
  <c r="X7" i="2"/>
  <c r="W25" i="2"/>
  <c r="F73" i="2" s="1"/>
  <c r="W23" i="2"/>
  <c r="W19" i="2"/>
  <c r="W13" i="2"/>
  <c r="W8" i="2"/>
  <c r="F56" i="2" s="1"/>
  <c r="E6" i="2"/>
  <c r="F7" i="2" s="1"/>
  <c r="Z21" i="2"/>
  <c r="Z13" i="2"/>
  <c r="W22" i="2"/>
  <c r="F70" i="2" s="1"/>
  <c r="W14" i="2"/>
  <c r="W6" i="2"/>
  <c r="O20" i="2"/>
  <c r="O12" i="2"/>
  <c r="E23" i="2"/>
  <c r="T22" i="2"/>
  <c r="T14" i="2"/>
  <c r="O19" i="2"/>
  <c r="O11" i="2"/>
  <c r="K6" i="2"/>
  <c r="K30" i="2" s="1"/>
  <c r="K8" i="2"/>
  <c r="K32" i="2" s="1"/>
  <c r="E21" i="2"/>
  <c r="E13" i="2"/>
  <c r="X24" i="2"/>
  <c r="X16" i="2"/>
  <c r="J55" i="2" l="1"/>
  <c r="F72" i="2"/>
  <c r="AC34" i="2"/>
  <c r="F58" i="2"/>
  <c r="AC33" i="2"/>
  <c r="F57" i="2"/>
  <c r="AC45" i="2"/>
  <c r="F69" i="2"/>
  <c r="F65" i="2"/>
  <c r="AC37" i="2"/>
  <c r="F61" i="2"/>
  <c r="AC39" i="2"/>
  <c r="F63" i="2"/>
  <c r="AC30" i="2"/>
  <c r="F54" i="2"/>
  <c r="AC43" i="2"/>
  <c r="AC44" i="2" s="1"/>
  <c r="F67" i="2"/>
  <c r="AC36" i="2"/>
  <c r="AC35" i="2" s="1"/>
  <c r="F60" i="2"/>
  <c r="AC42" i="2"/>
  <c r="F66" i="2"/>
  <c r="F62" i="2"/>
  <c r="F71" i="2"/>
  <c r="AC40" i="2"/>
  <c r="AC41" i="2" s="1"/>
  <c r="F64" i="2"/>
  <c r="F55" i="2"/>
  <c r="F68" i="2"/>
  <c r="U7" i="2"/>
  <c r="U31" i="2" s="1"/>
  <c r="AC31" i="2"/>
  <c r="AC32" i="2" s="1"/>
  <c r="U10" i="2"/>
  <c r="U34" i="2" s="1"/>
  <c r="K13" i="2"/>
  <c r="K37" i="2" s="1"/>
  <c r="P8" i="2"/>
  <c r="P32" i="2" s="1"/>
  <c r="K10" i="2"/>
  <c r="K34" i="2" s="1"/>
  <c r="U9" i="2"/>
  <c r="U33" i="2" s="1"/>
  <c r="U13" i="2"/>
  <c r="U37" i="2" s="1"/>
  <c r="U12" i="2"/>
  <c r="U36" i="2" s="1"/>
  <c r="U15" i="2"/>
  <c r="U39" i="2" s="1"/>
  <c r="U11" i="2"/>
  <c r="U35" i="2" s="1"/>
  <c r="K15" i="2"/>
  <c r="K39" i="2" s="1"/>
  <c r="K11" i="2"/>
  <c r="K35" i="2" s="1"/>
  <c r="F6" i="2"/>
  <c r="J54" i="2" s="1"/>
  <c r="F19" i="2"/>
  <c r="F8" i="2"/>
  <c r="P9" i="2"/>
  <c r="P33" i="2" s="1"/>
  <c r="K18" i="2"/>
  <c r="K42" i="2" s="1"/>
  <c r="F23" i="2"/>
  <c r="K21" i="2"/>
  <c r="K45" i="2" s="1"/>
  <c r="K19" i="2"/>
  <c r="K43" i="2" s="1"/>
  <c r="K23" i="2"/>
  <c r="K47" i="2" s="1"/>
  <c r="P10" i="2"/>
  <c r="P34" i="2" s="1"/>
  <c r="K25" i="2"/>
  <c r="K49" i="2" s="1"/>
  <c r="K24" i="2"/>
  <c r="K48" i="2" s="1"/>
  <c r="F9" i="2"/>
  <c r="J57" i="2" s="1"/>
  <c r="F15" i="2"/>
  <c r="K17" i="2"/>
  <c r="K41" i="2" s="1"/>
  <c r="F18" i="2"/>
  <c r="O71" i="2"/>
  <c r="O70" i="2"/>
  <c r="O72" i="2"/>
  <c r="O69" i="2"/>
  <c r="O68" i="2"/>
  <c r="O67" i="2"/>
  <c r="O66" i="2"/>
  <c r="O62" i="2"/>
  <c r="O60" i="2"/>
  <c r="O59" i="2"/>
  <c r="O58" i="2"/>
  <c r="O64" i="2"/>
  <c r="O55" i="2"/>
  <c r="O61" i="2"/>
  <c r="O65" i="2"/>
  <c r="O63" i="2"/>
  <c r="O57" i="2"/>
  <c r="O56" i="2"/>
  <c r="K12" i="2"/>
  <c r="K36" i="2" s="1"/>
  <c r="K22" i="2"/>
  <c r="K46" i="2" s="1"/>
  <c r="K20" i="2"/>
  <c r="K44" i="2" s="1"/>
  <c r="K16" i="2"/>
  <c r="K40" i="2" s="1"/>
  <c r="K14" i="2"/>
  <c r="K38" i="2" s="1"/>
  <c r="P23" i="2"/>
  <c r="P47" i="2" s="1"/>
  <c r="K9" i="2"/>
  <c r="K33" i="2" s="1"/>
  <c r="F10" i="2"/>
  <c r="F14" i="2"/>
  <c r="F17" i="2"/>
  <c r="J65" i="2" s="1"/>
  <c r="P24" i="2"/>
  <c r="P48" i="2" s="1"/>
  <c r="P21" i="2"/>
  <c r="P45" i="2" s="1"/>
  <c r="P15" i="2"/>
  <c r="P39" i="2" s="1"/>
  <c r="F12" i="2"/>
  <c r="J60" i="2" s="1"/>
  <c r="P13" i="2"/>
  <c r="P37" i="2" s="1"/>
  <c r="F13" i="2"/>
  <c r="J61" i="2" s="1"/>
  <c r="F11" i="2"/>
  <c r="J59" i="2" s="1"/>
  <c r="F20" i="2"/>
  <c r="F21" i="2"/>
  <c r="U14" i="2"/>
  <c r="U38" i="2" s="1"/>
  <c r="P22" i="2"/>
  <c r="P46" i="2" s="1"/>
  <c r="P14" i="2"/>
  <c r="P38" i="2" s="1"/>
  <c r="U21" i="2"/>
  <c r="U45" i="2" s="1"/>
  <c r="U20" i="2"/>
  <c r="U44" i="2" s="1"/>
  <c r="U23" i="2"/>
  <c r="U47" i="2" s="1"/>
  <c r="U22" i="2"/>
  <c r="U46" i="2" s="1"/>
  <c r="P20" i="2"/>
  <c r="P44" i="2" s="1"/>
  <c r="P12" i="2"/>
  <c r="P36" i="2" s="1"/>
  <c r="U19" i="2"/>
  <c r="U43" i="2" s="1"/>
  <c r="P19" i="2"/>
  <c r="P43" i="2" s="1"/>
  <c r="P11" i="2"/>
  <c r="P35" i="2" s="1"/>
  <c r="U25" i="2"/>
  <c r="U49" i="2" s="1"/>
  <c r="U18" i="2"/>
  <c r="U42" i="2" s="1"/>
  <c r="F25" i="2"/>
  <c r="F16" i="2"/>
  <c r="F31" i="2"/>
  <c r="P25" i="2"/>
  <c r="P49" i="2" s="1"/>
  <c r="P18" i="2"/>
  <c r="P42" i="2" s="1"/>
  <c r="U17" i="2"/>
  <c r="U41" i="2" s="1"/>
  <c r="F24" i="2"/>
  <c r="P17" i="2"/>
  <c r="P41" i="2" s="1"/>
  <c r="U16" i="2"/>
  <c r="U40" i="2" s="1"/>
  <c r="F22" i="2"/>
  <c r="J70" i="2" s="1"/>
  <c r="P16" i="2"/>
  <c r="P40" i="2" s="1"/>
  <c r="U24" i="2"/>
  <c r="U48" i="2" s="1"/>
  <c r="J64" i="2" l="1"/>
  <c r="J69" i="2"/>
  <c r="J58" i="2"/>
  <c r="J63" i="2"/>
  <c r="J71" i="2"/>
  <c r="J62" i="2"/>
  <c r="J56" i="2"/>
  <c r="J68" i="2"/>
  <c r="J67" i="2"/>
  <c r="J66" i="2"/>
  <c r="J73" i="2"/>
  <c r="J72" i="2"/>
  <c r="F47" i="2"/>
  <c r="F33" i="2"/>
  <c r="F44" i="2"/>
  <c r="F32" i="2"/>
  <c r="F41" i="2"/>
  <c r="F37" i="2"/>
  <c r="F43" i="2"/>
  <c r="AC38" i="2"/>
  <c r="F36" i="2"/>
  <c r="F42" i="2"/>
  <c r="B55" i="2"/>
  <c r="F30" i="2"/>
  <c r="AF36" i="2"/>
  <c r="AF38" i="2"/>
  <c r="AF43" i="2"/>
  <c r="AF42" i="2"/>
  <c r="AF34" i="2"/>
  <c r="AF35" i="2"/>
  <c r="AF33" i="2"/>
  <c r="AF41" i="2"/>
  <c r="G59" i="2"/>
  <c r="AF37" i="2"/>
  <c r="AF39" i="2"/>
  <c r="AF40" i="2"/>
  <c r="AF45" i="2"/>
  <c r="AF32" i="2"/>
  <c r="AF44" i="2"/>
  <c r="B54" i="2"/>
  <c r="G57" i="2"/>
  <c r="G66" i="2"/>
  <c r="G67" i="2"/>
  <c r="G69" i="2"/>
  <c r="G61" i="2"/>
  <c r="G56" i="2"/>
  <c r="G55" i="2"/>
  <c r="G65" i="2"/>
  <c r="B57" i="2"/>
  <c r="G72" i="2"/>
  <c r="B56" i="2"/>
  <c r="B58" i="2"/>
  <c r="G58" i="2"/>
  <c r="B63" i="2"/>
  <c r="G64" i="2"/>
  <c r="F34" i="2"/>
  <c r="G60" i="2"/>
  <c r="G68" i="2"/>
  <c r="F39" i="2"/>
  <c r="G63" i="2"/>
  <c r="B66" i="2"/>
  <c r="B61" i="2"/>
  <c r="B60" i="2"/>
  <c r="F35" i="2"/>
  <c r="F38" i="2"/>
  <c r="B59" i="2"/>
  <c r="B67" i="2"/>
  <c r="G62" i="2"/>
  <c r="B62" i="2"/>
  <c r="F40" i="2"/>
  <c r="B64" i="2"/>
  <c r="B65" i="2"/>
  <c r="B73" i="2"/>
  <c r="F49" i="2"/>
  <c r="F48" i="2"/>
  <c r="B72" i="2"/>
  <c r="B68" i="2"/>
  <c r="B71" i="2"/>
  <c r="F45" i="2"/>
  <c r="B69" i="2"/>
  <c r="F46" i="2"/>
  <c r="B70" i="2"/>
  <c r="AF31" i="2"/>
  <c r="G71" i="2"/>
  <c r="G70" i="2"/>
  <c r="K58" i="2"/>
  <c r="K57" i="2" l="1"/>
  <c r="K60" i="2"/>
  <c r="C55" i="2"/>
  <c r="K72" i="2"/>
  <c r="C56" i="2"/>
  <c r="K71" i="2"/>
  <c r="K56" i="2"/>
  <c r="K55" i="2"/>
  <c r="K61" i="2"/>
  <c r="C57" i="2"/>
  <c r="C63" i="2"/>
  <c r="C58" i="2"/>
  <c r="K62" i="2"/>
  <c r="K69" i="2"/>
  <c r="K66" i="2"/>
  <c r="K59" i="2"/>
  <c r="C66" i="2"/>
  <c r="K64" i="2"/>
  <c r="K63" i="2"/>
  <c r="C59" i="2"/>
  <c r="C71" i="2"/>
  <c r="C60" i="2"/>
  <c r="C65" i="2"/>
  <c r="C69" i="2"/>
  <c r="C64" i="2"/>
  <c r="C67" i="2"/>
  <c r="C61" i="2"/>
  <c r="K70" i="2"/>
  <c r="C68" i="2"/>
  <c r="C70" i="2"/>
  <c r="K67" i="2"/>
  <c r="K68" i="2"/>
  <c r="C62" i="2"/>
  <c r="C72" i="2"/>
  <c r="K65" i="2"/>
  <c r="AN40" i="2"/>
  <c r="AI40" i="2" s="1"/>
  <c r="AO44" i="2"/>
  <c r="AJ44" i="2" s="1"/>
  <c r="AN34" i="2"/>
  <c r="AI34" i="2" s="1"/>
  <c r="AO41" i="2"/>
  <c r="AJ41" i="2" s="1"/>
  <c r="AN44" i="2"/>
  <c r="AI44" i="2" s="1"/>
  <c r="AN42" i="2"/>
  <c r="AI42" i="2" s="1"/>
  <c r="AO45" i="2"/>
  <c r="AJ45" i="2" s="1"/>
  <c r="AN41" i="2"/>
  <c r="AI41" i="2" s="1"/>
  <c r="AN35" i="2"/>
  <c r="AI35" i="2" s="1"/>
  <c r="AN43" i="2"/>
  <c r="AI43" i="2" s="1"/>
  <c r="AN39" i="2"/>
  <c r="AI39" i="2" s="1"/>
  <c r="AN33" i="2"/>
  <c r="AI33" i="2" s="1"/>
  <c r="AO38" i="2"/>
  <c r="AJ38" i="2" s="1"/>
  <c r="AN38" i="2"/>
  <c r="AI38" i="2" s="1"/>
  <c r="AN45" i="2"/>
  <c r="AI45" i="2" s="1"/>
  <c r="AO35" i="2"/>
  <c r="AJ35" i="2" s="1"/>
  <c r="AO39" i="2"/>
  <c r="AJ39" i="2" s="1"/>
  <c r="AN37" i="2"/>
  <c r="AI37" i="2" s="1"/>
  <c r="AO43" i="2"/>
  <c r="AJ43" i="2" s="1"/>
  <c r="AN36" i="2"/>
  <c r="AI36" i="2" s="1"/>
  <c r="AO40" i="2"/>
  <c r="AJ40" i="2" s="1"/>
  <c r="AO37" i="2"/>
  <c r="AJ37" i="2" s="1"/>
  <c r="AO42" i="2"/>
  <c r="AJ42" i="2" s="1"/>
  <c r="AO33" i="2"/>
  <c r="AJ33" i="2" s="1"/>
  <c r="AO34" i="2"/>
  <c r="AJ34" i="2" s="1"/>
  <c r="AO32" i="2"/>
  <c r="AJ32" i="2" s="1"/>
  <c r="AO36" i="2"/>
  <c r="AJ36" i="2" s="1"/>
  <c r="AD33" i="2" l="1"/>
  <c r="AF64" i="2"/>
  <c r="AF72" i="2"/>
  <c r="AF80" i="2"/>
  <c r="AF88" i="2"/>
  <c r="AF96" i="2"/>
  <c r="AF104" i="2"/>
  <c r="AF112" i="2"/>
  <c r="AF120" i="2"/>
  <c r="AF65" i="2"/>
  <c r="AF73" i="2"/>
  <c r="AF81" i="2"/>
  <c r="AF89" i="2"/>
  <c r="AF97" i="2"/>
  <c r="AF105" i="2"/>
  <c r="AF113" i="2"/>
  <c r="AF121" i="2"/>
  <c r="AF67" i="2"/>
  <c r="AF75" i="2"/>
  <c r="AF83" i="2"/>
  <c r="AF91" i="2"/>
  <c r="AF99" i="2"/>
  <c r="AF107" i="2"/>
  <c r="AF115" i="2"/>
  <c r="AF123" i="2"/>
  <c r="AF68" i="2"/>
  <c r="AF76" i="2"/>
  <c r="AF84" i="2"/>
  <c r="AF92" i="2"/>
  <c r="AF100" i="2"/>
  <c r="AF108" i="2"/>
  <c r="AF116" i="2"/>
  <c r="AF61" i="2"/>
  <c r="AF69" i="2"/>
  <c r="AF77" i="2"/>
  <c r="AF85" i="2"/>
  <c r="AF93" i="2"/>
  <c r="AF101" i="2"/>
  <c r="AF109" i="2"/>
  <c r="AF117" i="2"/>
  <c r="AF70" i="2"/>
  <c r="AF90" i="2"/>
  <c r="AF111" i="2"/>
  <c r="AF71" i="2"/>
  <c r="AF94" i="2"/>
  <c r="AF114" i="2"/>
  <c r="AF74" i="2"/>
  <c r="AF95" i="2"/>
  <c r="AF118" i="2"/>
  <c r="AF78" i="2"/>
  <c r="AF98" i="2"/>
  <c r="AF119" i="2"/>
  <c r="AF79" i="2"/>
  <c r="AF102" i="2"/>
  <c r="AF122" i="2"/>
  <c r="AF62" i="2"/>
  <c r="AF82" i="2"/>
  <c r="AF103" i="2"/>
  <c r="AF63" i="2"/>
  <c r="AD37" i="2"/>
  <c r="AF66" i="2"/>
  <c r="AF86" i="2"/>
  <c r="AF87" i="2"/>
  <c r="AF110" i="2"/>
  <c r="AF106" i="2"/>
  <c r="AH67" i="2"/>
  <c r="AH76" i="2"/>
  <c r="AH84" i="2"/>
  <c r="AH92" i="2"/>
  <c r="AH100" i="2"/>
  <c r="AH108" i="2"/>
  <c r="AH116" i="2"/>
  <c r="AH68" i="2"/>
  <c r="AH77" i="2"/>
  <c r="AH85" i="2"/>
  <c r="AH93" i="2"/>
  <c r="AH101" i="2"/>
  <c r="AH109" i="2"/>
  <c r="AH117" i="2"/>
  <c r="AH69" i="2"/>
  <c r="AH70" i="2"/>
  <c r="AH79" i="2"/>
  <c r="AH87" i="2"/>
  <c r="AH95" i="2"/>
  <c r="AH103" i="2"/>
  <c r="AH111" i="2"/>
  <c r="AH119" i="2"/>
  <c r="AH63" i="2"/>
  <c r="AH71" i="2"/>
  <c r="AH80" i="2"/>
  <c r="AH88" i="2"/>
  <c r="AH96" i="2"/>
  <c r="AH104" i="2"/>
  <c r="AH112" i="2"/>
  <c r="AH120" i="2"/>
  <c r="AH64" i="2"/>
  <c r="AH72" i="2"/>
  <c r="AH81" i="2"/>
  <c r="AH89" i="2"/>
  <c r="AH97" i="2"/>
  <c r="AH105" i="2"/>
  <c r="AH113" i="2"/>
  <c r="AH121" i="2"/>
  <c r="AH75" i="2"/>
  <c r="AH98" i="2"/>
  <c r="AH118" i="2"/>
  <c r="AH78" i="2"/>
  <c r="AH99" i="2"/>
  <c r="AH122" i="2"/>
  <c r="AH65" i="2"/>
  <c r="AH82" i="2"/>
  <c r="AH102" i="2"/>
  <c r="AH123" i="2"/>
  <c r="AH66" i="2"/>
  <c r="AH83" i="2"/>
  <c r="AH106" i="2"/>
  <c r="AH73" i="2"/>
  <c r="AH86" i="2"/>
  <c r="AH107" i="2"/>
  <c r="AH90" i="2"/>
  <c r="AH110" i="2"/>
  <c r="AH115" i="2"/>
  <c r="AD39" i="2"/>
  <c r="AH114" i="2"/>
  <c r="AH74" i="2"/>
  <c r="AH91" i="2"/>
  <c r="AH94" i="2"/>
  <c r="AM70" i="2"/>
  <c r="AM78" i="2"/>
  <c r="AM86" i="2"/>
  <c r="AM94" i="2"/>
  <c r="AM102" i="2"/>
  <c r="AM110" i="2"/>
  <c r="AM118" i="2"/>
  <c r="AM71" i="2"/>
  <c r="AM79" i="2"/>
  <c r="AM87" i="2"/>
  <c r="AM95" i="2"/>
  <c r="AM103" i="2"/>
  <c r="AM111" i="2"/>
  <c r="AM119" i="2"/>
  <c r="AM73" i="2"/>
  <c r="AM74" i="2"/>
  <c r="AM82" i="2"/>
  <c r="AM90" i="2"/>
  <c r="AM98" i="2"/>
  <c r="AM106" i="2"/>
  <c r="AM114" i="2"/>
  <c r="AM122" i="2"/>
  <c r="AM75" i="2"/>
  <c r="AM83" i="2"/>
  <c r="AM91" i="2"/>
  <c r="AM99" i="2"/>
  <c r="AM107" i="2"/>
  <c r="AM115" i="2"/>
  <c r="AM123" i="2"/>
  <c r="AM76" i="2"/>
  <c r="AM92" i="2"/>
  <c r="AM108" i="2"/>
  <c r="AM77" i="2"/>
  <c r="AM93" i="2"/>
  <c r="AM109" i="2"/>
  <c r="AM105" i="2"/>
  <c r="AM80" i="2"/>
  <c r="AM96" i="2"/>
  <c r="AM112" i="2"/>
  <c r="AM81" i="2"/>
  <c r="AM97" i="2"/>
  <c r="AM113" i="2"/>
  <c r="AM121" i="2"/>
  <c r="AM84" i="2"/>
  <c r="AM100" i="2"/>
  <c r="AM116" i="2"/>
  <c r="AM69" i="2"/>
  <c r="AM104" i="2"/>
  <c r="AM72" i="2"/>
  <c r="AM68" i="2"/>
  <c r="AM85" i="2"/>
  <c r="AM101" i="2"/>
  <c r="AM117" i="2"/>
  <c r="AD44" i="2"/>
  <c r="AM88" i="2"/>
  <c r="AM120" i="2"/>
  <c r="AM89" i="2"/>
  <c r="AN71" i="2"/>
  <c r="AN79" i="2"/>
  <c r="AN87" i="2"/>
  <c r="AN95" i="2"/>
  <c r="AN103" i="2"/>
  <c r="AN111" i="2"/>
  <c r="AN119" i="2"/>
  <c r="AN72" i="2"/>
  <c r="AN80" i="2"/>
  <c r="AN88" i="2"/>
  <c r="AN96" i="2"/>
  <c r="AN104" i="2"/>
  <c r="AN112" i="2"/>
  <c r="AN120" i="2"/>
  <c r="AN75" i="2"/>
  <c r="AN83" i="2"/>
  <c r="AN91" i="2"/>
  <c r="AN99" i="2"/>
  <c r="AN107" i="2"/>
  <c r="AN115" i="2"/>
  <c r="AN123" i="2"/>
  <c r="AN76" i="2"/>
  <c r="AN84" i="2"/>
  <c r="AN92" i="2"/>
  <c r="AN100" i="2"/>
  <c r="AN108" i="2"/>
  <c r="AN116" i="2"/>
  <c r="AN69" i="2"/>
  <c r="AN85" i="2"/>
  <c r="AN101" i="2"/>
  <c r="AN117" i="2"/>
  <c r="AN98" i="2"/>
  <c r="AN70" i="2"/>
  <c r="AN86" i="2"/>
  <c r="AN102" i="2"/>
  <c r="AN118" i="2"/>
  <c r="AN73" i="2"/>
  <c r="AN89" i="2"/>
  <c r="AN105" i="2"/>
  <c r="AN121" i="2"/>
  <c r="AN74" i="2"/>
  <c r="AN90" i="2"/>
  <c r="AN106" i="2"/>
  <c r="AN122" i="2"/>
  <c r="AN77" i="2"/>
  <c r="AN93" i="2"/>
  <c r="AN109" i="2"/>
  <c r="AN81" i="2"/>
  <c r="AN113" i="2"/>
  <c r="AD45" i="2"/>
  <c r="AN82" i="2"/>
  <c r="AN78" i="2"/>
  <c r="AN94" i="2"/>
  <c r="AN110" i="2"/>
  <c r="AN97" i="2"/>
  <c r="AN114" i="2"/>
  <c r="AL70" i="2"/>
  <c r="AL78" i="2"/>
  <c r="AL86" i="2"/>
  <c r="AL94" i="2"/>
  <c r="AL102" i="2"/>
  <c r="AL110" i="2"/>
  <c r="AL118" i="2"/>
  <c r="AL71" i="2"/>
  <c r="AL79" i="2"/>
  <c r="AL87" i="2"/>
  <c r="AL95" i="2"/>
  <c r="AL103" i="2"/>
  <c r="AL111" i="2"/>
  <c r="AL119" i="2"/>
  <c r="AL73" i="2"/>
  <c r="AL81" i="2"/>
  <c r="AL89" i="2"/>
  <c r="AL97" i="2"/>
  <c r="AL105" i="2"/>
  <c r="AL113" i="2"/>
  <c r="AL121" i="2"/>
  <c r="AL74" i="2"/>
  <c r="AL82" i="2"/>
  <c r="AL90" i="2"/>
  <c r="AL98" i="2"/>
  <c r="AL106" i="2"/>
  <c r="AL114" i="2"/>
  <c r="AL122" i="2"/>
  <c r="AL67" i="2"/>
  <c r="AL75" i="2"/>
  <c r="AL83" i="2"/>
  <c r="AL91" i="2"/>
  <c r="AL99" i="2"/>
  <c r="AL107" i="2"/>
  <c r="AL115" i="2"/>
  <c r="AL123" i="2"/>
  <c r="AL68" i="2"/>
  <c r="AL88" i="2"/>
  <c r="AL109" i="2"/>
  <c r="AL69" i="2"/>
  <c r="AL92" i="2"/>
  <c r="AL112" i="2"/>
  <c r="AL72" i="2"/>
  <c r="AL93" i="2"/>
  <c r="AL116" i="2"/>
  <c r="AL76" i="2"/>
  <c r="AL96" i="2"/>
  <c r="AL117" i="2"/>
  <c r="AL77" i="2"/>
  <c r="AL100" i="2"/>
  <c r="AL120" i="2"/>
  <c r="AD43" i="2"/>
  <c r="AL84" i="2"/>
  <c r="AL85" i="2"/>
  <c r="AL80" i="2"/>
  <c r="AL101" i="2"/>
  <c r="AL104" i="2"/>
  <c r="AL108" i="2"/>
  <c r="AC64" i="2"/>
  <c r="AC72" i="2"/>
  <c r="AC80" i="2"/>
  <c r="AC88" i="2"/>
  <c r="AC96" i="2"/>
  <c r="AC104" i="2"/>
  <c r="AC112" i="2"/>
  <c r="AC120" i="2"/>
  <c r="AC65" i="2"/>
  <c r="AC73" i="2"/>
  <c r="AC81" i="2"/>
  <c r="AC89" i="2"/>
  <c r="AC97" i="2"/>
  <c r="AC105" i="2"/>
  <c r="AC113" i="2"/>
  <c r="AC121" i="2"/>
  <c r="AC58" i="2"/>
  <c r="AC66" i="2"/>
  <c r="AC74" i="2"/>
  <c r="AC82" i="2"/>
  <c r="AC90" i="2"/>
  <c r="AC98" i="2"/>
  <c r="AC106" i="2"/>
  <c r="AC114" i="2"/>
  <c r="AC122" i="2"/>
  <c r="AC59" i="2"/>
  <c r="AC67" i="2"/>
  <c r="AC75" i="2"/>
  <c r="AC83" i="2"/>
  <c r="AC91" i="2"/>
  <c r="AC99" i="2"/>
  <c r="AC107" i="2"/>
  <c r="AC115" i="2"/>
  <c r="AC123" i="2"/>
  <c r="AC60" i="2"/>
  <c r="AC68" i="2"/>
  <c r="AC76" i="2"/>
  <c r="AC84" i="2"/>
  <c r="AC92" i="2"/>
  <c r="AC100" i="2"/>
  <c r="AC108" i="2"/>
  <c r="AC116" i="2"/>
  <c r="AC61" i="2"/>
  <c r="AC69" i="2"/>
  <c r="AC77" i="2"/>
  <c r="AC85" i="2"/>
  <c r="AC93" i="2"/>
  <c r="AC101" i="2"/>
  <c r="AC109" i="2"/>
  <c r="AC117" i="2"/>
  <c r="AC71" i="2"/>
  <c r="AC103" i="2"/>
  <c r="AC78" i="2"/>
  <c r="AC110" i="2"/>
  <c r="AC79" i="2"/>
  <c r="AC111" i="2"/>
  <c r="AC86" i="2"/>
  <c r="AC118" i="2"/>
  <c r="AC87" i="2"/>
  <c r="AC119" i="2"/>
  <c r="AC62" i="2"/>
  <c r="AC94" i="2"/>
  <c r="AD34" i="2"/>
  <c r="AC63" i="2"/>
  <c r="AC70" i="2"/>
  <c r="AC102" i="2"/>
  <c r="AC95" i="2"/>
  <c r="AI65" i="2"/>
  <c r="AI73" i="2"/>
  <c r="AI74" i="2"/>
  <c r="AI82" i="2"/>
  <c r="AI90" i="2"/>
  <c r="AI98" i="2"/>
  <c r="AI106" i="2"/>
  <c r="AI114" i="2"/>
  <c r="AI122" i="2"/>
  <c r="AI66" i="2"/>
  <c r="AI75" i="2"/>
  <c r="AI83" i="2"/>
  <c r="AI91" i="2"/>
  <c r="AI99" i="2"/>
  <c r="AI107" i="2"/>
  <c r="AI115" i="2"/>
  <c r="AI123" i="2"/>
  <c r="AI67" i="2"/>
  <c r="AI68" i="2"/>
  <c r="AI77" i="2"/>
  <c r="AI85" i="2"/>
  <c r="AI69" i="2"/>
  <c r="AI78" i="2"/>
  <c r="AI86" i="2"/>
  <c r="AI94" i="2"/>
  <c r="AI70" i="2"/>
  <c r="AI79" i="2"/>
  <c r="AI87" i="2"/>
  <c r="AI95" i="2"/>
  <c r="AI89" i="2"/>
  <c r="AI103" i="2"/>
  <c r="AI113" i="2"/>
  <c r="AI92" i="2"/>
  <c r="AI104" i="2"/>
  <c r="AI116" i="2"/>
  <c r="AI93" i="2"/>
  <c r="AI105" i="2"/>
  <c r="AI117" i="2"/>
  <c r="AI76" i="2"/>
  <c r="AI96" i="2"/>
  <c r="AI108" i="2"/>
  <c r="AI118" i="2"/>
  <c r="AI80" i="2"/>
  <c r="AI97" i="2"/>
  <c r="AI109" i="2"/>
  <c r="AI119" i="2"/>
  <c r="AI64" i="2"/>
  <c r="AI81" i="2"/>
  <c r="AI100" i="2"/>
  <c r="AI110" i="2"/>
  <c r="AI120" i="2"/>
  <c r="AI71" i="2"/>
  <c r="AI72" i="2"/>
  <c r="AI84" i="2"/>
  <c r="AD40" i="2"/>
  <c r="AI88" i="2"/>
  <c r="AI101" i="2"/>
  <c r="AI102" i="2"/>
  <c r="AI112" i="2"/>
  <c r="AI121" i="2"/>
  <c r="AI111" i="2"/>
  <c r="AK70" i="2"/>
  <c r="AK78" i="2"/>
  <c r="AK86" i="2"/>
  <c r="AK94" i="2"/>
  <c r="AK102" i="2"/>
  <c r="AK71" i="2"/>
  <c r="AK79" i="2"/>
  <c r="AK87" i="2"/>
  <c r="AK95" i="2"/>
  <c r="AK103" i="2"/>
  <c r="AK69" i="2"/>
  <c r="AK81" i="2"/>
  <c r="AK91" i="2"/>
  <c r="AK101" i="2"/>
  <c r="AK111" i="2"/>
  <c r="AK119" i="2"/>
  <c r="AK72" i="2"/>
  <c r="AK82" i="2"/>
  <c r="AK92" i="2"/>
  <c r="AK104" i="2"/>
  <c r="AK112" i="2"/>
  <c r="AK120" i="2"/>
  <c r="AK73" i="2"/>
  <c r="AK83" i="2"/>
  <c r="AK93" i="2"/>
  <c r="AK74" i="2"/>
  <c r="AK84" i="2"/>
  <c r="AK96" i="2"/>
  <c r="AK106" i="2"/>
  <c r="AK114" i="2"/>
  <c r="AK122" i="2"/>
  <c r="AK75" i="2"/>
  <c r="AK85" i="2"/>
  <c r="AK97" i="2"/>
  <c r="AK107" i="2"/>
  <c r="AK115" i="2"/>
  <c r="AK123" i="2"/>
  <c r="AK66" i="2"/>
  <c r="AK76" i="2"/>
  <c r="AK88" i="2"/>
  <c r="AK98" i="2"/>
  <c r="AK108" i="2"/>
  <c r="AK116" i="2"/>
  <c r="AK100" i="2"/>
  <c r="AK67" i="2"/>
  <c r="AK105" i="2"/>
  <c r="AD42" i="2"/>
  <c r="AK68" i="2"/>
  <c r="AK109" i="2"/>
  <c r="AK77" i="2"/>
  <c r="AK110" i="2"/>
  <c r="AK80" i="2"/>
  <c r="AK113" i="2"/>
  <c r="AK90" i="2"/>
  <c r="AK99" i="2"/>
  <c r="AK89" i="2"/>
  <c r="AK117" i="2"/>
  <c r="AK118" i="2"/>
  <c r="AK121" i="2"/>
  <c r="AE63" i="2"/>
  <c r="AE71" i="2"/>
  <c r="AE79" i="2"/>
  <c r="AE87" i="2"/>
  <c r="AE95" i="2"/>
  <c r="AE103" i="2"/>
  <c r="AE111" i="2"/>
  <c r="AE119" i="2"/>
  <c r="AE64" i="2"/>
  <c r="AE72" i="2"/>
  <c r="AE80" i="2"/>
  <c r="AE88" i="2"/>
  <c r="AE96" i="2"/>
  <c r="AE104" i="2"/>
  <c r="AE112" i="2"/>
  <c r="AE120" i="2"/>
  <c r="AE66" i="2"/>
  <c r="AE74" i="2"/>
  <c r="AE82" i="2"/>
  <c r="AE90" i="2"/>
  <c r="AE98" i="2"/>
  <c r="AE106" i="2"/>
  <c r="AE114" i="2"/>
  <c r="AE122" i="2"/>
  <c r="AE67" i="2"/>
  <c r="AE75" i="2"/>
  <c r="AE83" i="2"/>
  <c r="AE91" i="2"/>
  <c r="AE99" i="2"/>
  <c r="AE107" i="2"/>
  <c r="AE115" i="2"/>
  <c r="AE123" i="2"/>
  <c r="AE60" i="2"/>
  <c r="AE68" i="2"/>
  <c r="AE76" i="2"/>
  <c r="AE84" i="2"/>
  <c r="AE92" i="2"/>
  <c r="AE100" i="2"/>
  <c r="AE108" i="2"/>
  <c r="AE116" i="2"/>
  <c r="AE69" i="2"/>
  <c r="AE89" i="2"/>
  <c r="AE110" i="2"/>
  <c r="AE70" i="2"/>
  <c r="AE93" i="2"/>
  <c r="AE113" i="2"/>
  <c r="AE73" i="2"/>
  <c r="AE94" i="2"/>
  <c r="AE117" i="2"/>
  <c r="AE77" i="2"/>
  <c r="AE97" i="2"/>
  <c r="AE118" i="2"/>
  <c r="AE78" i="2"/>
  <c r="AE101" i="2"/>
  <c r="AE121" i="2"/>
  <c r="AE61" i="2"/>
  <c r="AE81" i="2"/>
  <c r="AE102" i="2"/>
  <c r="AE109" i="2"/>
  <c r="AE62" i="2"/>
  <c r="AE65" i="2"/>
  <c r="AE85" i="2"/>
  <c r="AD36" i="2"/>
  <c r="AE86" i="2"/>
  <c r="AE105" i="2"/>
  <c r="AD63" i="2"/>
  <c r="AD71" i="2"/>
  <c r="AD79" i="2"/>
  <c r="AD87" i="2"/>
  <c r="AD95" i="2"/>
  <c r="AD103" i="2"/>
  <c r="AD111" i="2"/>
  <c r="AD119" i="2"/>
  <c r="AD64" i="2"/>
  <c r="AD72" i="2"/>
  <c r="AD80" i="2"/>
  <c r="AD88" i="2"/>
  <c r="AD96" i="2"/>
  <c r="AD104" i="2"/>
  <c r="AD112" i="2"/>
  <c r="AD120" i="2"/>
  <c r="AD65" i="2"/>
  <c r="AD73" i="2"/>
  <c r="AD81" i="2"/>
  <c r="AD89" i="2"/>
  <c r="AD97" i="2"/>
  <c r="AD105" i="2"/>
  <c r="AD113" i="2"/>
  <c r="AD121" i="2"/>
  <c r="AD66" i="2"/>
  <c r="AD74" i="2"/>
  <c r="AD82" i="2"/>
  <c r="AD90" i="2"/>
  <c r="AD98" i="2"/>
  <c r="AD106" i="2"/>
  <c r="AD114" i="2"/>
  <c r="AD122" i="2"/>
  <c r="AD59" i="2"/>
  <c r="AD67" i="2"/>
  <c r="AD75" i="2"/>
  <c r="AD83" i="2"/>
  <c r="AD91" i="2"/>
  <c r="AD99" i="2"/>
  <c r="AD107" i="2"/>
  <c r="AD115" i="2"/>
  <c r="AD123" i="2"/>
  <c r="AD60" i="2"/>
  <c r="AD68" i="2"/>
  <c r="AD76" i="2"/>
  <c r="AD84" i="2"/>
  <c r="AD92" i="2"/>
  <c r="AD100" i="2"/>
  <c r="AD108" i="2"/>
  <c r="AD116" i="2"/>
  <c r="AD70" i="2"/>
  <c r="AD102" i="2"/>
  <c r="AD77" i="2"/>
  <c r="AD109" i="2"/>
  <c r="AD78" i="2"/>
  <c r="AD110" i="2"/>
  <c r="AD85" i="2"/>
  <c r="AD117" i="2"/>
  <c r="AD86" i="2"/>
  <c r="AD118" i="2"/>
  <c r="AD61" i="2"/>
  <c r="AD93" i="2"/>
  <c r="AD69" i="2"/>
  <c r="AD94" i="2"/>
  <c r="AD101" i="2"/>
  <c r="AD62" i="2"/>
  <c r="AD35" i="2"/>
  <c r="AJ72" i="2"/>
  <c r="AJ80" i="2"/>
  <c r="AJ88" i="2"/>
  <c r="AJ96" i="2"/>
  <c r="AJ104" i="2"/>
  <c r="AJ112" i="2"/>
  <c r="AJ120" i="2"/>
  <c r="AJ65" i="2"/>
  <c r="AJ73" i="2"/>
  <c r="AJ81" i="2"/>
  <c r="AJ89" i="2"/>
  <c r="AJ97" i="2"/>
  <c r="AJ105" i="2"/>
  <c r="AJ113" i="2"/>
  <c r="AJ121" i="2"/>
  <c r="AJ66" i="2"/>
  <c r="AJ67" i="2"/>
  <c r="AJ68" i="2"/>
  <c r="AJ69" i="2"/>
  <c r="AJ70" i="2"/>
  <c r="AJ75" i="2"/>
  <c r="AJ85" i="2"/>
  <c r="AJ95" i="2"/>
  <c r="AJ107" i="2"/>
  <c r="AJ117" i="2"/>
  <c r="AJ71" i="2"/>
  <c r="AJ76" i="2"/>
  <c r="AJ86" i="2"/>
  <c r="AJ98" i="2"/>
  <c r="AJ108" i="2"/>
  <c r="AJ118" i="2"/>
  <c r="AJ77" i="2"/>
  <c r="AJ87" i="2"/>
  <c r="AJ99" i="2"/>
  <c r="AJ109" i="2"/>
  <c r="AJ119" i="2"/>
  <c r="AJ78" i="2"/>
  <c r="AJ90" i="2"/>
  <c r="AJ100" i="2"/>
  <c r="AJ110" i="2"/>
  <c r="AJ122" i="2"/>
  <c r="AJ79" i="2"/>
  <c r="AJ91" i="2"/>
  <c r="AJ101" i="2"/>
  <c r="AJ111" i="2"/>
  <c r="AJ123" i="2"/>
  <c r="AJ82" i="2"/>
  <c r="AJ92" i="2"/>
  <c r="AJ102" i="2"/>
  <c r="AJ114" i="2"/>
  <c r="AJ74" i="2"/>
  <c r="AJ116" i="2"/>
  <c r="AD41" i="2"/>
  <c r="AJ83" i="2"/>
  <c r="AJ84" i="2"/>
  <c r="AJ93" i="2"/>
  <c r="AJ94" i="2"/>
  <c r="AJ103" i="2"/>
  <c r="AJ106" i="2"/>
  <c r="AJ115" i="2"/>
  <c r="AG62" i="2"/>
  <c r="AG70" i="2"/>
  <c r="AG78" i="2"/>
  <c r="AG86" i="2"/>
  <c r="AG94" i="2"/>
  <c r="AG102" i="2"/>
  <c r="AG110" i="2"/>
  <c r="AG118" i="2"/>
  <c r="AG63" i="2"/>
  <c r="AG71" i="2"/>
  <c r="AG79" i="2"/>
  <c r="AG87" i="2"/>
  <c r="AG95" i="2"/>
  <c r="AG103" i="2"/>
  <c r="AG111" i="2"/>
  <c r="AG119" i="2"/>
  <c r="AG64" i="2"/>
  <c r="AG72" i="2"/>
  <c r="AG65" i="2"/>
  <c r="AG73" i="2"/>
  <c r="AG81" i="2"/>
  <c r="AG89" i="2"/>
  <c r="AG97" i="2"/>
  <c r="AG105" i="2"/>
  <c r="AG113" i="2"/>
  <c r="AG121" i="2"/>
  <c r="AG66" i="2"/>
  <c r="AG74" i="2"/>
  <c r="AG82" i="2"/>
  <c r="AG90" i="2"/>
  <c r="AG98" i="2"/>
  <c r="AG106" i="2"/>
  <c r="AG114" i="2"/>
  <c r="AG122" i="2"/>
  <c r="AG67" i="2"/>
  <c r="AG75" i="2"/>
  <c r="AG83" i="2"/>
  <c r="AG91" i="2"/>
  <c r="AG99" i="2"/>
  <c r="AG107" i="2"/>
  <c r="AG115" i="2"/>
  <c r="AG123" i="2"/>
  <c r="AG68" i="2"/>
  <c r="AG84" i="2"/>
  <c r="AG104" i="2"/>
  <c r="AG69" i="2"/>
  <c r="AG85" i="2"/>
  <c r="AG108" i="2"/>
  <c r="AG88" i="2"/>
  <c r="AG109" i="2"/>
  <c r="AG92" i="2"/>
  <c r="AG112" i="2"/>
  <c r="AG93" i="2"/>
  <c r="AG116" i="2"/>
  <c r="AG76" i="2"/>
  <c r="AG96" i="2"/>
  <c r="AG117" i="2"/>
  <c r="AG80" i="2"/>
  <c r="AG100" i="2"/>
  <c r="AG77" i="2"/>
  <c r="AD38" i="2"/>
  <c r="AG101" i="2"/>
  <c r="AG120" i="2"/>
  <c r="AB59" i="2"/>
  <c r="AB67" i="2"/>
  <c r="AB75" i="2"/>
  <c r="AB63" i="2"/>
  <c r="AB71" i="2"/>
  <c r="AB79" i="2"/>
  <c r="AB62" i="2"/>
  <c r="AB73" i="2"/>
  <c r="AB83" i="2"/>
  <c r="AB91" i="2"/>
  <c r="AB99" i="2"/>
  <c r="AB107" i="2"/>
  <c r="AB115" i="2"/>
  <c r="AB123" i="2"/>
  <c r="AB65" i="2"/>
  <c r="AB85" i="2"/>
  <c r="AB101" i="2"/>
  <c r="AB117" i="2"/>
  <c r="AB102" i="2"/>
  <c r="AB70" i="2"/>
  <c r="AB105" i="2"/>
  <c r="AB121" i="2"/>
  <c r="AB82" i="2"/>
  <c r="AB64" i="2"/>
  <c r="AB74" i="2"/>
  <c r="AB84" i="2"/>
  <c r="AB92" i="2"/>
  <c r="AB100" i="2"/>
  <c r="AB108" i="2"/>
  <c r="AB116" i="2"/>
  <c r="AB57" i="2"/>
  <c r="AB76" i="2"/>
  <c r="AB93" i="2"/>
  <c r="AB109" i="2"/>
  <c r="AB94" i="2"/>
  <c r="AB118" i="2"/>
  <c r="AB60" i="2"/>
  <c r="AB81" i="2"/>
  <c r="AB113" i="2"/>
  <c r="AB61" i="2"/>
  <c r="AB98" i="2"/>
  <c r="AB66" i="2"/>
  <c r="AB77" i="2"/>
  <c r="AB86" i="2"/>
  <c r="AB110" i="2"/>
  <c r="AB72" i="2"/>
  <c r="AB114" i="2"/>
  <c r="AB68" i="2"/>
  <c r="AB78" i="2"/>
  <c r="AB87" i="2"/>
  <c r="AB95" i="2"/>
  <c r="AB103" i="2"/>
  <c r="AB111" i="2"/>
  <c r="AB119" i="2"/>
  <c r="AB89" i="2"/>
  <c r="AB106" i="2"/>
  <c r="AB58" i="2"/>
  <c r="AB69" i="2"/>
  <c r="AB80" i="2"/>
  <c r="AB88" i="2"/>
  <c r="AB96" i="2"/>
  <c r="AB104" i="2"/>
  <c r="AB112" i="2"/>
  <c r="AB120" i="2"/>
  <c r="AB97" i="2"/>
  <c r="AB90" i="2"/>
  <c r="AB122" i="2"/>
  <c r="AO31" i="2" l="1"/>
  <c r="AJ31" i="2" s="1"/>
  <c r="AN31" i="2"/>
  <c r="AI31" i="2" s="1"/>
  <c r="AN32" i="2"/>
  <c r="AI32" i="2" s="1"/>
  <c r="Z55" i="2" l="1"/>
  <c r="Z71" i="2"/>
  <c r="Z110" i="2"/>
  <c r="Z57" i="2"/>
  <c r="Z58" i="2"/>
  <c r="Z67" i="2"/>
  <c r="Z60" i="2"/>
  <c r="Z69" i="2"/>
  <c r="Z119" i="2"/>
  <c r="Z98" i="2"/>
  <c r="Z120" i="2"/>
  <c r="Z77" i="2"/>
  <c r="Z118" i="2"/>
  <c r="Z76" i="2"/>
  <c r="Z102" i="2"/>
  <c r="Z85" i="2"/>
  <c r="Z75" i="2"/>
  <c r="Z68" i="2"/>
  <c r="Z79" i="2"/>
  <c r="Z87" i="2"/>
  <c r="Z123" i="2"/>
  <c r="Z97" i="2"/>
  <c r="Z81" i="2"/>
  <c r="Z112" i="2"/>
  <c r="Z84" i="2"/>
  <c r="Z59" i="2"/>
  <c r="Z114" i="2"/>
  <c r="Z121" i="2"/>
  <c r="Z61" i="2"/>
  <c r="Z65" i="2"/>
  <c r="Z96" i="2"/>
  <c r="Z94" i="2"/>
  <c r="Z91" i="2"/>
  <c r="Z74" i="2"/>
  <c r="Z104" i="2"/>
  <c r="Z108" i="2"/>
  <c r="Z80" i="2"/>
  <c r="Z90" i="2"/>
  <c r="Z117" i="2"/>
  <c r="Z111" i="2"/>
  <c r="Z109" i="2"/>
  <c r="Z66" i="2"/>
  <c r="Z116" i="2"/>
  <c r="Z103" i="2"/>
  <c r="Z93" i="2"/>
  <c r="Z89" i="2"/>
  <c r="Z70" i="2"/>
  <c r="Z105" i="2"/>
  <c r="Z62" i="2"/>
  <c r="Z99" i="2"/>
  <c r="Z95" i="2"/>
  <c r="Z115" i="2"/>
  <c r="Z92" i="2"/>
  <c r="Z82" i="2"/>
  <c r="Z106" i="2"/>
  <c r="Z107" i="2"/>
  <c r="Z73" i="2"/>
  <c r="Z72" i="2"/>
  <c r="Z100" i="2"/>
  <c r="Z101" i="2"/>
  <c r="Z83" i="2"/>
  <c r="Z88" i="2"/>
  <c r="Z86" i="2"/>
  <c r="Z78" i="2"/>
  <c r="Z63" i="2"/>
  <c r="Z113" i="2"/>
  <c r="Z122" i="2"/>
  <c r="Z56" i="2"/>
  <c r="AD31" i="2"/>
  <c r="Z64" i="2"/>
  <c r="AA80" i="2"/>
  <c r="AA91" i="2"/>
  <c r="AA71" i="2"/>
  <c r="AA64" i="2"/>
  <c r="AA114" i="2"/>
  <c r="AA75" i="2"/>
  <c r="AA117" i="2"/>
  <c r="AA60" i="2"/>
  <c r="AA78" i="2"/>
  <c r="AA105" i="2"/>
  <c r="AA65" i="2"/>
  <c r="AA123" i="2"/>
  <c r="AA58" i="2"/>
  <c r="AA116" i="2"/>
  <c r="AA89" i="2"/>
  <c r="AA84" i="2"/>
  <c r="AA106" i="2"/>
  <c r="AA107" i="2"/>
  <c r="AA57" i="2"/>
  <c r="AA118" i="2"/>
  <c r="AA61" i="2"/>
  <c r="AA95" i="2"/>
  <c r="AA74" i="2"/>
  <c r="AD32" i="2"/>
  <c r="AA67" i="2"/>
  <c r="AA90" i="2"/>
  <c r="AA115" i="2"/>
  <c r="AA85" i="2"/>
  <c r="AA99" i="2"/>
  <c r="AA108" i="2"/>
  <c r="AA100" i="2"/>
  <c r="AA122" i="2"/>
  <c r="AA119" i="2"/>
  <c r="AA62" i="2"/>
  <c r="AA121" i="2"/>
  <c r="AA113" i="2"/>
  <c r="AA104" i="2"/>
  <c r="AA83" i="2"/>
  <c r="AA109" i="2"/>
  <c r="AA86" i="2"/>
  <c r="AA92" i="2"/>
  <c r="AA110" i="2"/>
  <c r="AA101" i="2"/>
  <c r="AA68" i="2"/>
  <c r="AA88" i="2"/>
  <c r="AA63" i="2"/>
  <c r="AA98" i="2"/>
  <c r="AA81" i="2"/>
  <c r="AA96" i="2"/>
  <c r="AA76" i="2"/>
  <c r="AA111" i="2"/>
  <c r="AA87" i="2"/>
  <c r="AA93" i="2"/>
  <c r="AA56" i="2"/>
  <c r="AA102" i="2"/>
  <c r="AA66" i="2"/>
  <c r="AA97" i="2"/>
  <c r="AA73" i="2"/>
  <c r="AA79" i="2"/>
  <c r="AA69" i="2"/>
  <c r="AA77" i="2"/>
  <c r="AA72" i="2"/>
  <c r="AA112" i="2"/>
  <c r="AA94" i="2"/>
  <c r="AA82" i="2"/>
  <c r="AA103" i="2"/>
  <c r="AA59" i="2"/>
  <c r="AA70" i="2"/>
  <c r="AA120" i="2"/>
  <c r="AH35" i="2" l="1"/>
  <c r="AH33" i="2"/>
  <c r="AH40" i="2"/>
  <c r="AH44" i="2"/>
  <c r="AH34" i="2"/>
  <c r="AH43" i="2"/>
  <c r="AH45" i="2"/>
  <c r="AH39" i="2"/>
  <c r="AH41" i="2"/>
  <c r="AH37" i="2"/>
  <c r="AH42" i="2"/>
  <c r="AH38" i="2"/>
  <c r="AH32" i="2"/>
  <c r="AH36" i="2"/>
  <c r="AH31" i="2"/>
  <c r="AL43" i="2" l="1"/>
  <c r="AG43" i="2"/>
  <c r="AK43" i="2" s="1"/>
  <c r="AG34" i="2"/>
  <c r="AK34" i="2" s="1"/>
  <c r="AL34" i="2"/>
  <c r="AG44" i="2"/>
  <c r="AK44" i="2" s="1"/>
  <c r="AL44" i="2"/>
  <c r="AG38" i="2"/>
  <c r="AK38" i="2" s="1"/>
  <c r="AL38" i="2"/>
  <c r="AG40" i="2"/>
  <c r="AK40" i="2" s="1"/>
  <c r="AL40" i="2"/>
  <c r="AG45" i="2"/>
  <c r="AK45" i="2" s="1"/>
  <c r="AL45" i="2"/>
  <c r="AL31" i="2"/>
  <c r="AG31" i="2"/>
  <c r="AK31" i="2" s="1"/>
  <c r="AG42" i="2"/>
  <c r="AK42" i="2" s="1"/>
  <c r="AL42" i="2"/>
  <c r="AG37" i="2"/>
  <c r="AK37" i="2" s="1"/>
  <c r="AL37" i="2"/>
  <c r="AL36" i="2"/>
  <c r="AG36" i="2"/>
  <c r="AK36" i="2" s="1"/>
  <c r="AG41" i="2"/>
  <c r="AK41" i="2" s="1"/>
  <c r="AL41" i="2"/>
  <c r="AL33" i="2"/>
  <c r="AG33" i="2"/>
  <c r="AK33" i="2" s="1"/>
  <c r="AL32" i="2"/>
  <c r="AG32" i="2"/>
  <c r="AK32" i="2" s="1"/>
  <c r="AL39" i="2"/>
  <c r="AG39" i="2"/>
  <c r="AK39" i="2" s="1"/>
  <c r="AG35" i="2"/>
  <c r="AK35" i="2" s="1"/>
  <c r="AL35" i="2"/>
  <c r="AC48" i="2" l="1"/>
  <c r="AC49" i="2"/>
  <c r="AF47" i="2"/>
  <c r="AC47" i="2"/>
  <c r="AF49" i="2" s="1"/>
  <c r="AC46" i="2"/>
  <c r="AF46" i="2" s="1"/>
  <c r="AF48" i="2"/>
  <c r="AO46" i="2"/>
  <c r="AJ46" i="2" s="1"/>
  <c r="AO47" i="2"/>
  <c r="AJ47" i="2" s="1"/>
  <c r="AN47" i="2"/>
  <c r="AI47" i="2" s="1"/>
  <c r="AO48" i="2"/>
  <c r="AJ48" i="2" s="1"/>
  <c r="AN49" i="2"/>
  <c r="AI49" i="2" s="1"/>
  <c r="AN48" i="2"/>
  <c r="AI48" i="2" s="1"/>
  <c r="AN46" i="2"/>
  <c r="AI46" i="2" s="1"/>
  <c r="AO49" i="2"/>
  <c r="AJ49" i="2" s="1"/>
  <c r="AP91" i="2" l="1"/>
  <c r="AP87" i="2"/>
  <c r="AD47" i="2"/>
  <c r="AP110" i="2"/>
  <c r="AP72" i="2"/>
  <c r="AP115" i="2"/>
  <c r="AP107" i="2"/>
  <c r="AP97" i="2"/>
  <c r="AP101" i="2"/>
  <c r="AP82" i="2"/>
  <c r="AP105" i="2"/>
  <c r="AP85" i="2"/>
  <c r="AP113" i="2"/>
  <c r="AP79" i="2"/>
  <c r="AP106" i="2"/>
  <c r="AP77" i="2"/>
  <c r="AP99" i="2"/>
  <c r="AP114" i="2"/>
  <c r="AP122" i="2"/>
  <c r="AP95" i="2"/>
  <c r="AP116" i="2"/>
  <c r="AP111" i="2"/>
  <c r="AP86" i="2"/>
  <c r="AP88" i="2"/>
  <c r="AP108" i="2"/>
  <c r="AP80" i="2"/>
  <c r="AP109" i="2"/>
  <c r="AP90" i="2"/>
  <c r="AP76" i="2"/>
  <c r="AP73" i="2"/>
  <c r="AP96" i="2"/>
  <c r="AP100" i="2"/>
  <c r="AP104" i="2"/>
  <c r="AP78" i="2"/>
  <c r="AP89" i="2"/>
  <c r="AP83" i="2"/>
  <c r="AP81" i="2"/>
  <c r="AP74" i="2"/>
  <c r="AP117" i="2"/>
  <c r="AP71" i="2"/>
  <c r="AP102" i="2"/>
  <c r="AP112" i="2"/>
  <c r="AP93" i="2"/>
  <c r="AP92" i="2"/>
  <c r="AP75" i="2"/>
  <c r="AP84" i="2"/>
  <c r="AP118" i="2"/>
  <c r="AP94" i="2"/>
  <c r="AP98" i="2"/>
  <c r="AP121" i="2"/>
  <c r="AP103" i="2"/>
  <c r="AP120" i="2"/>
  <c r="AP119" i="2"/>
  <c r="AO110" i="2"/>
  <c r="AO75" i="2"/>
  <c r="AO113" i="2"/>
  <c r="AO77" i="2"/>
  <c r="AO91" i="2"/>
  <c r="AO111" i="2"/>
  <c r="AO87" i="2"/>
  <c r="AO118" i="2"/>
  <c r="AO122" i="2"/>
  <c r="AO99" i="2"/>
  <c r="AO103" i="2"/>
  <c r="AO109" i="2"/>
  <c r="AO97" i="2"/>
  <c r="AO104" i="2"/>
  <c r="AO101" i="2"/>
  <c r="AO119" i="2"/>
  <c r="AO88" i="2"/>
  <c r="AO102" i="2"/>
  <c r="AO82" i="2"/>
  <c r="AO84" i="2"/>
  <c r="AO81" i="2"/>
  <c r="AO100" i="2"/>
  <c r="AO96" i="2"/>
  <c r="AO116" i="2"/>
  <c r="AO117" i="2"/>
  <c r="AO83" i="2"/>
  <c r="AO78" i="2"/>
  <c r="AO95" i="2"/>
  <c r="AO79" i="2"/>
  <c r="AO120" i="2"/>
  <c r="AO105" i="2"/>
  <c r="AO92" i="2"/>
  <c r="AO70" i="2"/>
  <c r="AO98" i="2"/>
  <c r="AO112" i="2"/>
  <c r="AO74" i="2"/>
  <c r="AO90" i="2"/>
  <c r="AO114" i="2"/>
  <c r="AO76" i="2"/>
  <c r="AO80" i="2"/>
  <c r="AO107" i="2"/>
  <c r="AO86" i="2"/>
  <c r="AO115" i="2"/>
  <c r="AO94" i="2"/>
  <c r="AO121" i="2"/>
  <c r="AO106" i="2"/>
  <c r="AO108" i="2"/>
  <c r="AD46" i="2"/>
  <c r="AO123" i="2"/>
  <c r="AO72" i="2"/>
  <c r="AO73" i="2"/>
  <c r="AO93" i="2"/>
  <c r="AO71" i="2"/>
  <c r="AO85" i="2"/>
  <c r="AO89" i="2"/>
  <c r="AQ102" i="2"/>
  <c r="AQ77" i="2"/>
  <c r="AQ83" i="2"/>
  <c r="AQ107" i="2"/>
  <c r="AQ95" i="2"/>
  <c r="AQ113" i="2"/>
  <c r="AQ91" i="2"/>
  <c r="AQ85" i="2"/>
  <c r="AQ110" i="2"/>
  <c r="AQ123" i="2"/>
  <c r="AQ106" i="2"/>
  <c r="AQ74" i="2"/>
  <c r="AQ89" i="2"/>
  <c r="AQ119" i="2"/>
  <c r="AQ117" i="2"/>
  <c r="AQ112" i="2"/>
  <c r="AQ104" i="2"/>
  <c r="AQ99" i="2"/>
  <c r="AQ92" i="2"/>
  <c r="AQ75" i="2"/>
  <c r="AQ109" i="2"/>
  <c r="AQ82" i="2"/>
  <c r="AQ79" i="2"/>
  <c r="AQ97" i="2"/>
  <c r="AQ80" i="2"/>
  <c r="AQ105" i="2"/>
  <c r="AQ76" i="2"/>
  <c r="AQ73" i="2"/>
  <c r="AQ87" i="2"/>
  <c r="AQ86" i="2"/>
  <c r="AQ114" i="2"/>
  <c r="AQ72" i="2"/>
  <c r="AQ96" i="2"/>
  <c r="AQ78" i="2"/>
  <c r="AQ122" i="2"/>
  <c r="AQ93" i="2"/>
  <c r="AQ103" i="2"/>
  <c r="AQ100" i="2"/>
  <c r="AQ81" i="2"/>
  <c r="AQ84" i="2"/>
  <c r="AD48" i="2"/>
  <c r="AQ121" i="2"/>
  <c r="AQ115" i="2"/>
  <c r="AQ98" i="2"/>
  <c r="AQ90" i="2"/>
  <c r="AQ94" i="2"/>
  <c r="AQ111" i="2"/>
  <c r="AQ120" i="2"/>
  <c r="AQ88" i="2"/>
  <c r="AQ118" i="2"/>
  <c r="AQ116" i="2"/>
  <c r="AQ101" i="2"/>
  <c r="AQ108" i="2"/>
  <c r="AR83" i="2"/>
  <c r="AR109" i="2"/>
  <c r="AR94" i="2"/>
  <c r="T80" i="2"/>
  <c r="AR105" i="2"/>
  <c r="AR98" i="2"/>
  <c r="AR113" i="2"/>
  <c r="AR103" i="2"/>
  <c r="AR85" i="2"/>
  <c r="AR81" i="2"/>
  <c r="AR96" i="2"/>
  <c r="T90" i="2"/>
  <c r="AR82" i="2"/>
  <c r="AR90" i="2"/>
  <c r="AR75" i="2"/>
  <c r="T97" i="2"/>
  <c r="AR111" i="2"/>
  <c r="AR91" i="2"/>
  <c r="T78" i="2"/>
  <c r="AR76" i="2"/>
  <c r="AR112" i="2"/>
  <c r="AR99" i="2"/>
  <c r="T85" i="2"/>
  <c r="T87" i="2"/>
  <c r="AR100" i="2"/>
  <c r="AR92" i="2"/>
  <c r="AR102" i="2"/>
  <c r="AR121" i="2"/>
  <c r="AR114" i="2"/>
  <c r="AR77" i="2"/>
  <c r="T91" i="2"/>
  <c r="AR79" i="2"/>
  <c r="T83" i="2"/>
  <c r="T92" i="2"/>
  <c r="T95" i="2"/>
  <c r="AR106" i="2"/>
  <c r="AR78" i="2"/>
  <c r="AR101" i="2"/>
  <c r="T96" i="2"/>
  <c r="AR120" i="2"/>
  <c r="AR108" i="2"/>
  <c r="T88" i="2"/>
  <c r="AR123" i="2"/>
  <c r="AR117" i="2"/>
  <c r="AR104" i="2"/>
  <c r="AR73" i="2"/>
  <c r="AR97" i="2"/>
  <c r="AR89" i="2"/>
  <c r="AR86" i="2"/>
  <c r="T79" i="2"/>
  <c r="AR119" i="2"/>
  <c r="T94" i="2"/>
  <c r="AD49" i="2" s="1"/>
  <c r="AH49" i="2" s="1"/>
  <c r="T84" i="2"/>
  <c r="T86" i="2"/>
  <c r="AR87" i="2"/>
  <c r="T93" i="2"/>
  <c r="AR88" i="2"/>
  <c r="T89" i="2"/>
  <c r="AR107" i="2"/>
  <c r="AR74" i="2"/>
  <c r="AR118" i="2"/>
  <c r="T81" i="2"/>
  <c r="AR115" i="2"/>
  <c r="AR93" i="2"/>
  <c r="T82" i="2"/>
  <c r="AR116" i="2"/>
  <c r="AR80" i="2"/>
  <c r="AR122" i="2"/>
  <c r="AR95" i="2"/>
  <c r="AR110" i="2"/>
  <c r="AR84" i="2"/>
  <c r="AH47" i="2"/>
  <c r="AL47" i="2" s="1"/>
  <c r="AL49" i="2" l="1"/>
  <c r="AG49" i="2"/>
  <c r="AK49" i="2" s="1"/>
  <c r="AH48" i="2"/>
  <c r="AH46" i="2"/>
  <c r="AG47" i="2"/>
  <c r="AK47" i="2" s="1"/>
  <c r="AL46" i="2" l="1"/>
  <c r="AG46" i="2"/>
  <c r="AK46" i="2" s="1"/>
  <c r="AL48" i="2"/>
  <c r="AG48" i="2"/>
  <c r="AK48" i="2" s="1"/>
</calcChain>
</file>

<file path=xl/sharedStrings.xml><?xml version="1.0" encoding="utf-8"?>
<sst xmlns="http://schemas.openxmlformats.org/spreadsheetml/2006/main" count="76" uniqueCount="43">
  <si>
    <t>Week</t>
  </si>
  <si>
    <t>Total</t>
  </si>
  <si>
    <t>Hard &amp; Major</t>
  </si>
  <si>
    <t>Hard &amp; Minor</t>
  </si>
  <si>
    <t>Easy &amp; Major</t>
  </si>
  <si>
    <t>Easy &amp; Minor</t>
  </si>
  <si>
    <t>Category</t>
  </si>
  <si>
    <t>User impact</t>
  </si>
  <si>
    <t>Hours to fix</t>
  </si>
  <si>
    <t>Total hours</t>
  </si>
  <si>
    <t>Static</t>
  </si>
  <si>
    <t>Cumul</t>
  </si>
  <si>
    <t>Fixed</t>
  </si>
  <si>
    <t>Remain</t>
  </si>
  <si>
    <t>TIFD</t>
  </si>
  <si>
    <t>Ratio DF:DF</t>
  </si>
  <si>
    <t>This week</t>
  </si>
  <si>
    <t xml:space="preserve"> Found</t>
  </si>
  <si>
    <t xml:space="preserve"> Fixed</t>
  </si>
  <si>
    <t>KPIs</t>
  </si>
  <si>
    <t>Hours remaining</t>
  </si>
  <si>
    <t>Avg</t>
  </si>
  <si>
    <t>FIFO assumption</t>
  </si>
  <si>
    <t>Exponential fit</t>
  </si>
  <si>
    <t>Coeff c</t>
  </si>
  <si>
    <t>Coeff b</t>
  </si>
  <si>
    <t>SS Total</t>
  </si>
  <si>
    <t>SS Regression</t>
  </si>
  <si>
    <t>SS Residual</t>
  </si>
  <si>
    <t>R Squared</t>
  </si>
  <si>
    <t>StDev(residuals)</t>
  </si>
  <si>
    <t>Exp</t>
  </si>
  <si>
    <t>Found</t>
  </si>
  <si>
    <t>Bugs Remaining</t>
  </si>
  <si>
    <t>Integration</t>
  </si>
  <si>
    <t>Estimated bugs remaining</t>
  </si>
  <si>
    <t>3 wk mov</t>
  </si>
  <si>
    <t xml:space="preserve">avg mj queue time </t>
  </si>
  <si>
    <t>Raw</t>
  </si>
  <si>
    <t>Priority</t>
  </si>
  <si>
    <t>Scenario specifics (paste from effort-allocator.py)</t>
  </si>
  <si>
    <t>Excel computed coeffs</t>
  </si>
  <si>
    <t>Mathametica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</si>
</sst>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4" fillId="0" borderId="0" xfId="0" applyFont="1"/>
    <xf numFmtId="164" fontId="0" fillId="0" borderId="0" xfId="0" applyNumberFormat="1"/>
    <xf numFmtId="0" fontId="0" fillId="0" borderId="0" xfId="0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Defects</a:t>
            </a:r>
            <a:r>
              <a:rPr lang="en-AU" baseline="0"/>
              <a:t> Found / Fixed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560365237065027E-2"/>
          <c:y val="0.17514720689875707"/>
          <c:w val="0.89957481028497011"/>
          <c:h val="0.53467932767459947"/>
        </c:manualLayout>
      </c:layout>
      <c:lineChart>
        <c:grouping val="standard"/>
        <c:varyColors val="0"/>
        <c:ser>
          <c:idx val="0"/>
          <c:order val="0"/>
          <c:tx>
            <c:strRef>
              <c:f>'Ema Emi Hma Hmi'!$W$5</c:f>
              <c:strCache>
                <c:ptCount val="1"/>
                <c:pt idx="0">
                  <c:v> Found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2.6647313623341395E-2"/>
                  <c:y val="-0.354182990284109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1.2957934124100186E-2"/>
                  <c:y val="-0.270801572983239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'Ema Emi Hma Hmi'!$W$6:$W$25</c:f>
              <c:numCache>
                <c:formatCode>General</c:formatCode>
                <c:ptCount val="20"/>
                <c:pt idx="0">
                  <c:v>48</c:v>
                </c:pt>
                <c:pt idx="1">
                  <c:v>44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24</c:v>
                </c:pt>
                <c:pt idx="6">
                  <c:v>19</c:v>
                </c:pt>
                <c:pt idx="7">
                  <c:v>14</c:v>
                </c:pt>
                <c:pt idx="8">
                  <c:v>13</c:v>
                </c:pt>
                <c:pt idx="9">
                  <c:v>11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'Ema Emi Hma Hmi'!$X$5</c:f>
              <c:strCache>
                <c:ptCount val="1"/>
                <c:pt idx="0">
                  <c:v> Fixed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34631447235366664"/>
                  <c:y val="-0.228383007140594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'Ema Emi Hma Hmi'!$X$6:$X$25</c:f>
              <c:numCache>
                <c:formatCode>General</c:formatCode>
                <c:ptCount val="20"/>
                <c:pt idx="0">
                  <c:v>14</c:v>
                </c:pt>
                <c:pt idx="1">
                  <c:v>16</c:v>
                </c:pt>
                <c:pt idx="2">
                  <c:v>13</c:v>
                </c:pt>
                <c:pt idx="3">
                  <c:v>16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22</c:v>
                </c:pt>
                <c:pt idx="10">
                  <c:v>23</c:v>
                </c:pt>
                <c:pt idx="11">
                  <c:v>19</c:v>
                </c:pt>
                <c:pt idx="12">
                  <c:v>13</c:v>
                </c:pt>
                <c:pt idx="13">
                  <c:v>13</c:v>
                </c:pt>
                <c:pt idx="14">
                  <c:v>10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4</c:v>
                </c:pt>
                <c:pt idx="1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694832"/>
        <c:axId val="683682864"/>
      </c:lineChart>
      <c:catAx>
        <c:axId val="68369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2864"/>
        <c:crosses val="autoZero"/>
        <c:auto val="1"/>
        <c:lblAlgn val="ctr"/>
        <c:lblOffset val="100"/>
        <c:noMultiLvlLbl val="0"/>
      </c:catAx>
      <c:valAx>
        <c:axId val="6836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9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TIFD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'Ema Emi Hma Hmi'!$B$53</c:f>
              <c:strCache>
                <c:ptCount val="1"/>
                <c:pt idx="0">
                  <c:v>Raw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'Ema Emi Hma Hmi'!$A$54:$A$73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Hmi'!$B$54:$B$73</c:f>
              <c:numCache>
                <c:formatCode>General</c:formatCode>
                <c:ptCount val="20"/>
                <c:pt idx="0">
                  <c:v>52</c:v>
                </c:pt>
                <c:pt idx="1">
                  <c:v>86</c:v>
                </c:pt>
                <c:pt idx="2">
                  <c:v>91</c:v>
                </c:pt>
                <c:pt idx="3">
                  <c:v>108</c:v>
                </c:pt>
                <c:pt idx="4">
                  <c:v>95</c:v>
                </c:pt>
                <c:pt idx="5">
                  <c:v>99</c:v>
                </c:pt>
                <c:pt idx="6">
                  <c:v>95</c:v>
                </c:pt>
                <c:pt idx="7">
                  <c:v>86</c:v>
                </c:pt>
                <c:pt idx="8">
                  <c:v>76</c:v>
                </c:pt>
                <c:pt idx="9">
                  <c:v>65</c:v>
                </c:pt>
                <c:pt idx="10">
                  <c:v>50</c:v>
                </c:pt>
                <c:pt idx="11">
                  <c:v>39</c:v>
                </c:pt>
                <c:pt idx="12">
                  <c:v>34</c:v>
                </c:pt>
                <c:pt idx="13">
                  <c:v>29</c:v>
                </c:pt>
                <c:pt idx="14">
                  <c:v>22</c:v>
                </c:pt>
                <c:pt idx="15">
                  <c:v>13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'Ema Emi Hma Hmi'!$C$53</c:f>
              <c:strCache>
                <c:ptCount val="1"/>
                <c:pt idx="0">
                  <c:v>3 wk mov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'Ema Emi Hma Hmi'!$A$54:$A$73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Hmi'!$C$54:$C$73</c:f>
              <c:numCache>
                <c:formatCode>General</c:formatCode>
                <c:ptCount val="20"/>
                <c:pt idx="1">
                  <c:v>76.333333333333329</c:v>
                </c:pt>
                <c:pt idx="2">
                  <c:v>95</c:v>
                </c:pt>
                <c:pt idx="3">
                  <c:v>98</c:v>
                </c:pt>
                <c:pt idx="4">
                  <c:v>100.66666666666667</c:v>
                </c:pt>
                <c:pt idx="5">
                  <c:v>96.333333333333329</c:v>
                </c:pt>
                <c:pt idx="6">
                  <c:v>93.333333333333329</c:v>
                </c:pt>
                <c:pt idx="7">
                  <c:v>85.666666666666671</c:v>
                </c:pt>
                <c:pt idx="8">
                  <c:v>75.666666666666671</c:v>
                </c:pt>
                <c:pt idx="9">
                  <c:v>63.666666666666664</c:v>
                </c:pt>
                <c:pt idx="10">
                  <c:v>51.333333333333336</c:v>
                </c:pt>
                <c:pt idx="11">
                  <c:v>41</c:v>
                </c:pt>
                <c:pt idx="12">
                  <c:v>34</c:v>
                </c:pt>
                <c:pt idx="13">
                  <c:v>28.333333333333332</c:v>
                </c:pt>
                <c:pt idx="14">
                  <c:v>21.333333333333332</c:v>
                </c:pt>
                <c:pt idx="15">
                  <c:v>14</c:v>
                </c:pt>
                <c:pt idx="16">
                  <c:v>6.666666666666667</c:v>
                </c:pt>
                <c:pt idx="17">
                  <c:v>2.3333333333333335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683952"/>
        <c:axId val="683695376"/>
      </c:lineChart>
      <c:catAx>
        <c:axId val="68368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95376"/>
        <c:crosses val="autoZero"/>
        <c:auto val="1"/>
        <c:lblAlgn val="ctr"/>
        <c:lblOffset val="100"/>
        <c:noMultiLvlLbl val="0"/>
      </c:catAx>
      <c:valAx>
        <c:axId val="6836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DF:DF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'Ema Emi Hma Hmi'!$F$53</c:f>
              <c:strCache>
                <c:ptCount val="1"/>
                <c:pt idx="0">
                  <c:v>Raw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'Ema Emi Hma Hmi'!$E$54:$E$73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Hmi'!$F$54:$F$73</c:f>
              <c:numCache>
                <c:formatCode>General</c:formatCode>
                <c:ptCount val="20"/>
                <c:pt idx="0">
                  <c:v>3.2666666666666666</c:v>
                </c:pt>
                <c:pt idx="1">
                  <c:v>2.6470588235294117</c:v>
                </c:pt>
                <c:pt idx="2">
                  <c:v>2.2142857142857144</c:v>
                </c:pt>
                <c:pt idx="3">
                  <c:v>1.6470588235294117</c:v>
                </c:pt>
                <c:pt idx="4">
                  <c:v>1.2777777777777777</c:v>
                </c:pt>
                <c:pt idx="5">
                  <c:v>1.1904761904761905</c:v>
                </c:pt>
                <c:pt idx="6">
                  <c:v>0.83333333333333337</c:v>
                </c:pt>
                <c:pt idx="7">
                  <c:v>0.625</c:v>
                </c:pt>
                <c:pt idx="8">
                  <c:v>0.58333333333333337</c:v>
                </c:pt>
                <c:pt idx="9">
                  <c:v>0.52173913043478259</c:v>
                </c:pt>
                <c:pt idx="10">
                  <c:v>0.375</c:v>
                </c:pt>
                <c:pt idx="11">
                  <c:v>0.45</c:v>
                </c:pt>
                <c:pt idx="12">
                  <c:v>0.6428571428571429</c:v>
                </c:pt>
                <c:pt idx="13">
                  <c:v>0.6428571428571429</c:v>
                </c:pt>
                <c:pt idx="14">
                  <c:v>0.36363636363636365</c:v>
                </c:pt>
                <c:pt idx="15">
                  <c:v>0.25</c:v>
                </c:pt>
                <c:pt idx="16">
                  <c:v>0.45454545454545453</c:v>
                </c:pt>
                <c:pt idx="17">
                  <c:v>0.3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'Ema Emi Hma Hmi'!$G$53</c:f>
              <c:strCache>
                <c:ptCount val="1"/>
                <c:pt idx="0">
                  <c:v>3 wk mov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'Ema Emi Hma Hmi'!$E$54:$E$73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Hmi'!$G$54:$G$73</c:f>
              <c:numCache>
                <c:formatCode>General</c:formatCode>
                <c:ptCount val="20"/>
                <c:pt idx="1">
                  <c:v>2.7093370681605982</c:v>
                </c:pt>
                <c:pt idx="2">
                  <c:v>2.1694677871148458</c:v>
                </c:pt>
                <c:pt idx="3">
                  <c:v>1.713040771864301</c:v>
                </c:pt>
                <c:pt idx="4">
                  <c:v>1.3717709305944599</c:v>
                </c:pt>
                <c:pt idx="5">
                  <c:v>1.1005291005291007</c:v>
                </c:pt>
                <c:pt idx="6">
                  <c:v>0.88293650793650791</c:v>
                </c:pt>
                <c:pt idx="7">
                  <c:v>0.68055555555555569</c:v>
                </c:pt>
                <c:pt idx="8">
                  <c:v>0.57669082125603877</c:v>
                </c:pt>
                <c:pt idx="9">
                  <c:v>0.49335748792270534</c:v>
                </c:pt>
                <c:pt idx="10">
                  <c:v>0.44891304347826089</c:v>
                </c:pt>
                <c:pt idx="11">
                  <c:v>0.48928571428571432</c:v>
                </c:pt>
                <c:pt idx="12">
                  <c:v>0.57857142857142863</c:v>
                </c:pt>
                <c:pt idx="13">
                  <c:v>0.54978354978354982</c:v>
                </c:pt>
                <c:pt idx="14">
                  <c:v>0.41883116883116883</c:v>
                </c:pt>
                <c:pt idx="15">
                  <c:v>0.35606060606060602</c:v>
                </c:pt>
                <c:pt idx="16">
                  <c:v>0.3348484848484849</c:v>
                </c:pt>
                <c:pt idx="17">
                  <c:v>0.58484848484848484</c:v>
                </c:pt>
                <c:pt idx="18">
                  <c:v>0.76666666666666661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692656"/>
        <c:axId val="683686128"/>
      </c:lineChart>
      <c:catAx>
        <c:axId val="68369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6128"/>
        <c:crosses val="autoZero"/>
        <c:auto val="1"/>
        <c:lblAlgn val="ctr"/>
        <c:lblOffset val="100"/>
        <c:noMultiLvlLbl val="0"/>
      </c:catAx>
      <c:valAx>
        <c:axId val="68368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9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Queue Time - Major</a:t>
            </a:r>
            <a:r>
              <a:rPr lang="en-AU" baseline="0"/>
              <a:t> Issues</a:t>
            </a:r>
          </a:p>
          <a:p>
            <a:pPr>
              <a:defRPr/>
            </a:pP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'Ema Emi Hma Hmi'!$J$53</c:f>
              <c:strCache>
                <c:ptCount val="1"/>
                <c:pt idx="0">
                  <c:v>Raw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'Ema Emi Hma Hmi'!$I$54:$I$73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Hmi'!$J$54:$J$73</c:f>
              <c:numCache>
                <c:formatCode>General</c:formatCode>
                <c:ptCount val="20"/>
                <c:pt idx="0">
                  <c:v>1.2127659574468086</c:v>
                </c:pt>
                <c:pt idx="1">
                  <c:v>1.2666666666666666</c:v>
                </c:pt>
                <c:pt idx="2">
                  <c:v>1.1538461538461537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'Ema Emi Hma Hmi'!$K$53</c:f>
              <c:strCache>
                <c:ptCount val="1"/>
                <c:pt idx="0">
                  <c:v>3 wk mov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'Ema Emi Hma Hmi'!$I$54:$I$73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Hmi'!$K$54:$K$73</c:f>
              <c:numCache>
                <c:formatCode>General</c:formatCode>
                <c:ptCount val="20"/>
                <c:pt idx="1">
                  <c:v>1.2110929259865431</c:v>
                </c:pt>
                <c:pt idx="2">
                  <c:v>1.2068376068376068</c:v>
                </c:pt>
                <c:pt idx="3">
                  <c:v>1.1179487179487178</c:v>
                </c:pt>
                <c:pt idx="4">
                  <c:v>1.0666666666666667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682320"/>
        <c:axId val="683684496"/>
      </c:lineChart>
      <c:catAx>
        <c:axId val="68368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4496"/>
        <c:crosses val="autoZero"/>
        <c:auto val="1"/>
        <c:lblAlgn val="ctr"/>
        <c:lblOffset val="100"/>
        <c:noMultiLvlLbl val="0"/>
      </c:catAx>
      <c:valAx>
        <c:axId val="683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Estimated bugs remaining</a:t>
            </a:r>
          </a:p>
        </c:rich>
      </c:tx>
      <c:layout>
        <c:manualLayout>
          <c:xMode val="edge"/>
          <c:yMode val="edge"/>
          <c:x val="0.2872707786526684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'Ema Emi Hma Hmi'!$N$53</c:f>
              <c:strCache>
                <c:ptCount val="1"/>
                <c:pt idx="0">
                  <c:v>Raw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'Ema Emi Hma Hmi'!$M$54:$M$73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Hmi'!$N$54:$N$73</c:f>
              <c:numCache>
                <c:formatCode>General</c:formatCode>
                <c:ptCount val="20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'Ema Emi Hma Hmi'!$O$53</c:f>
              <c:strCache>
                <c:ptCount val="1"/>
                <c:pt idx="0">
                  <c:v>3 wk mov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'Ema Emi Hma Hmi'!$M$54:$M$73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'Ema Emi Hma Hmi'!$O$54:$O$73</c:f>
              <c:numCache>
                <c:formatCode>General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686672"/>
        <c:axId val="335111728"/>
      </c:lineChart>
      <c:catAx>
        <c:axId val="68368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11728"/>
        <c:crosses val="autoZero"/>
        <c:auto val="1"/>
        <c:lblAlgn val="ctr"/>
        <c:lblOffset val="100"/>
        <c:noMultiLvlLbl val="0"/>
      </c:catAx>
      <c:valAx>
        <c:axId val="33511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68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666750</xdr:colOff>
      <xdr:row>53</xdr:row>
      <xdr:rowOff>179070</xdr:rowOff>
    </xdr:from>
    <xdr:to>
      <xdr:col>23</xdr:col>
      <xdr:colOff>457200</xdr:colOff>
      <xdr:row>68</xdr:row>
      <xdr:rowOff>179070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312420</xdr:colOff>
      <xdr:row>74</xdr:row>
      <xdr:rowOff>95250</xdr:rowOff>
    </xdr:from>
    <xdr:to>
      <xdr:col>7</xdr:col>
      <xdr:colOff>563880</xdr:colOff>
      <xdr:row>89</xdr:row>
      <xdr:rowOff>95250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342900</xdr:colOff>
      <xdr:row>74</xdr:row>
      <xdr:rowOff>95250</xdr:rowOff>
    </xdr:from>
    <xdr:to>
      <xdr:col>15</xdr:col>
      <xdr:colOff>190500</xdr:colOff>
      <xdr:row>89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373380</xdr:colOff>
      <xdr:row>91</xdr:row>
      <xdr:rowOff>49530</xdr:rowOff>
    </xdr:from>
    <xdr:to>
      <xdr:col>8</xdr:col>
      <xdr:colOff>22860</xdr:colOff>
      <xdr:row>106</xdr:row>
      <xdr:rowOff>49530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365760</xdr:colOff>
      <xdr:row>91</xdr:row>
      <xdr:rowOff>64770</xdr:rowOff>
    </xdr:from>
    <xdr:to>
      <xdr:col>15</xdr:col>
      <xdr:colOff>213360</xdr:colOff>
      <xdr:row>106</xdr:row>
      <xdr:rowOff>64770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"/>
  <sheetViews>
    <sheetView workbookViewId="0">
      <selection activeCell="C6" sqref="C6:E25"/>
    </sheetView>
  </sheetViews>
  <sheetFormatPr defaultColWidth="8.77734375" defaultRowHeight="14.4" x14ac:dyDescent="0.3"/>
  <cols>
    <col min="1" max="1" width="14" customWidth="1"/>
    <col min="2" max="2" width="1.109375" customWidth="1"/>
    <col min="3" max="3" width="14.6640625" customWidth="1"/>
    <col min="4" max="4" width="14.77734375" customWidth="1"/>
    <col min="5" max="5" width="14.109375" customWidth="1"/>
    <col min="6" max="6" width="15.77734375" customWidth="1"/>
    <col min="7" max="7" width="1.109375" customWidth="1"/>
  </cols>
  <sheetData>
    <row r="1" spans="1:8" x14ac:dyDescent="0.3">
      <c r="A1" s="1" t="s">
        <v>6</v>
      </c>
      <c r="B1" s="1"/>
      <c r="C1" s="1" t="s">
        <v>2</v>
      </c>
      <c r="D1" s="1" t="s">
        <v>3</v>
      </c>
      <c r="E1" s="1" t="s">
        <v>4</v>
      </c>
      <c r="F1" s="1" t="s">
        <v>5</v>
      </c>
      <c r="G1" s="1"/>
    </row>
    <row r="2" spans="1:8" x14ac:dyDescent="0.3">
      <c r="A2" t="s">
        <v>7</v>
      </c>
      <c r="C2">
        <v>7</v>
      </c>
      <c r="D2">
        <v>1</v>
      </c>
      <c r="E2">
        <v>7</v>
      </c>
      <c r="F2">
        <v>1</v>
      </c>
    </row>
    <row r="3" spans="1:8" x14ac:dyDescent="0.3">
      <c r="A3" t="s">
        <v>8</v>
      </c>
      <c r="C3">
        <v>5</v>
      </c>
      <c r="D3">
        <v>5</v>
      </c>
      <c r="E3">
        <v>2</v>
      </c>
      <c r="F3">
        <v>2</v>
      </c>
    </row>
    <row r="5" spans="1:8" x14ac:dyDescent="0.3">
      <c r="A5" s="2" t="s">
        <v>0</v>
      </c>
      <c r="B5" s="1"/>
      <c r="H5" s="2" t="s">
        <v>1</v>
      </c>
    </row>
    <row r="6" spans="1:8" x14ac:dyDescent="0.3">
      <c r="A6">
        <v>1</v>
      </c>
      <c r="C6">
        <v>10</v>
      </c>
      <c r="D6">
        <v>6</v>
      </c>
      <c r="E6">
        <v>7</v>
      </c>
      <c r="F6">
        <v>25</v>
      </c>
      <c r="H6">
        <f t="shared" ref="H6:H25" si="0">SUM(C6:F6)</f>
        <v>48</v>
      </c>
    </row>
    <row r="7" spans="1:8" x14ac:dyDescent="0.3">
      <c r="A7">
        <v>2</v>
      </c>
      <c r="C7">
        <v>7</v>
      </c>
      <c r="D7">
        <v>9</v>
      </c>
      <c r="E7">
        <v>8</v>
      </c>
      <c r="F7">
        <v>20</v>
      </c>
      <c r="H7">
        <f t="shared" si="0"/>
        <v>44</v>
      </c>
    </row>
    <row r="8" spans="1:8" x14ac:dyDescent="0.3">
      <c r="A8">
        <v>3</v>
      </c>
      <c r="C8">
        <v>6</v>
      </c>
      <c r="D8">
        <v>5</v>
      </c>
      <c r="E8">
        <v>4</v>
      </c>
      <c r="F8">
        <v>15</v>
      </c>
      <c r="H8">
        <f t="shared" si="0"/>
        <v>30</v>
      </c>
    </row>
    <row r="9" spans="1:8" x14ac:dyDescent="0.3">
      <c r="A9">
        <v>4</v>
      </c>
      <c r="C9">
        <v>7</v>
      </c>
      <c r="D9">
        <v>4</v>
      </c>
      <c r="E9">
        <v>8</v>
      </c>
      <c r="F9">
        <v>8</v>
      </c>
      <c r="H9">
        <f t="shared" si="0"/>
        <v>27</v>
      </c>
    </row>
    <row r="10" spans="1:8" x14ac:dyDescent="0.3">
      <c r="A10">
        <v>5</v>
      </c>
      <c r="C10">
        <v>2</v>
      </c>
      <c r="D10">
        <v>5</v>
      </c>
      <c r="E10">
        <v>1</v>
      </c>
      <c r="F10">
        <v>14</v>
      </c>
      <c r="H10">
        <f t="shared" si="0"/>
        <v>22</v>
      </c>
    </row>
    <row r="11" spans="1:8" x14ac:dyDescent="0.3">
      <c r="A11">
        <v>6</v>
      </c>
      <c r="C11">
        <v>3</v>
      </c>
      <c r="D11">
        <v>3</v>
      </c>
      <c r="E11">
        <v>2</v>
      </c>
      <c r="F11">
        <v>16</v>
      </c>
      <c r="H11">
        <f t="shared" si="0"/>
        <v>24</v>
      </c>
    </row>
    <row r="12" spans="1:8" x14ac:dyDescent="0.3">
      <c r="A12">
        <v>7</v>
      </c>
      <c r="C12">
        <v>1</v>
      </c>
      <c r="D12">
        <v>2</v>
      </c>
      <c r="E12">
        <v>1</v>
      </c>
      <c r="F12">
        <v>15</v>
      </c>
      <c r="H12">
        <f t="shared" si="0"/>
        <v>19</v>
      </c>
    </row>
    <row r="13" spans="1:8" x14ac:dyDescent="0.3">
      <c r="A13">
        <v>8</v>
      </c>
      <c r="C13">
        <v>1</v>
      </c>
      <c r="D13">
        <v>1</v>
      </c>
      <c r="E13">
        <v>3</v>
      </c>
      <c r="F13">
        <v>9</v>
      </c>
      <c r="H13">
        <f t="shared" si="0"/>
        <v>14</v>
      </c>
    </row>
    <row r="14" spans="1:8" x14ac:dyDescent="0.3">
      <c r="A14">
        <v>9</v>
      </c>
      <c r="C14">
        <v>1</v>
      </c>
      <c r="D14">
        <v>4</v>
      </c>
      <c r="E14">
        <v>1</v>
      </c>
      <c r="F14">
        <v>7</v>
      </c>
      <c r="H14">
        <f t="shared" si="0"/>
        <v>13</v>
      </c>
    </row>
    <row r="15" spans="1:8" x14ac:dyDescent="0.3">
      <c r="A15">
        <v>10</v>
      </c>
      <c r="C15">
        <v>2</v>
      </c>
      <c r="D15">
        <v>2</v>
      </c>
      <c r="E15">
        <v>2</v>
      </c>
      <c r="F15">
        <v>5</v>
      </c>
      <c r="H15">
        <f t="shared" si="0"/>
        <v>11</v>
      </c>
    </row>
    <row r="16" spans="1:8" x14ac:dyDescent="0.3">
      <c r="A16">
        <v>11</v>
      </c>
      <c r="C16">
        <v>1</v>
      </c>
      <c r="D16">
        <v>1</v>
      </c>
      <c r="E16">
        <v>1</v>
      </c>
      <c r="F16">
        <v>5</v>
      </c>
      <c r="H16">
        <f t="shared" si="0"/>
        <v>8</v>
      </c>
    </row>
    <row r="17" spans="1:8" x14ac:dyDescent="0.3">
      <c r="A17">
        <v>12</v>
      </c>
      <c r="C17">
        <v>1</v>
      </c>
      <c r="D17">
        <v>0</v>
      </c>
      <c r="E17">
        <v>4</v>
      </c>
      <c r="F17">
        <v>3</v>
      </c>
      <c r="H17">
        <f t="shared" si="0"/>
        <v>8</v>
      </c>
    </row>
    <row r="18" spans="1:8" x14ac:dyDescent="0.3">
      <c r="A18">
        <v>13</v>
      </c>
      <c r="C18">
        <v>2</v>
      </c>
      <c r="D18">
        <v>1</v>
      </c>
      <c r="E18">
        <v>3</v>
      </c>
      <c r="F18">
        <v>2</v>
      </c>
      <c r="H18">
        <f t="shared" si="0"/>
        <v>8</v>
      </c>
    </row>
    <row r="19" spans="1:8" x14ac:dyDescent="0.3">
      <c r="A19">
        <v>14</v>
      </c>
      <c r="C19">
        <v>2</v>
      </c>
      <c r="D19">
        <v>1</v>
      </c>
      <c r="E19">
        <v>3</v>
      </c>
      <c r="F19">
        <v>2</v>
      </c>
      <c r="H19">
        <f t="shared" si="0"/>
        <v>8</v>
      </c>
    </row>
    <row r="20" spans="1:8" x14ac:dyDescent="0.3">
      <c r="A20">
        <v>15</v>
      </c>
      <c r="C20">
        <v>1</v>
      </c>
      <c r="D20">
        <v>1</v>
      </c>
      <c r="E20">
        <v>0</v>
      </c>
      <c r="F20">
        <v>1</v>
      </c>
      <c r="H20">
        <f t="shared" si="0"/>
        <v>3</v>
      </c>
    </row>
    <row r="21" spans="1:8" x14ac:dyDescent="0.3">
      <c r="A21">
        <v>16</v>
      </c>
      <c r="C21">
        <v>0</v>
      </c>
      <c r="D21">
        <v>0</v>
      </c>
      <c r="E21">
        <v>1</v>
      </c>
      <c r="F21">
        <v>1</v>
      </c>
      <c r="H21">
        <f t="shared" si="0"/>
        <v>2</v>
      </c>
    </row>
    <row r="22" spans="1:8" x14ac:dyDescent="0.3">
      <c r="A22">
        <v>17</v>
      </c>
      <c r="C22">
        <v>2</v>
      </c>
      <c r="D22">
        <v>2</v>
      </c>
      <c r="E22">
        <v>0</v>
      </c>
      <c r="F22">
        <v>0</v>
      </c>
      <c r="H22">
        <f t="shared" si="0"/>
        <v>4</v>
      </c>
    </row>
    <row r="23" spans="1:8" x14ac:dyDescent="0.3">
      <c r="A23">
        <v>18</v>
      </c>
      <c r="C23">
        <v>0</v>
      </c>
      <c r="D23">
        <v>1</v>
      </c>
      <c r="E23">
        <v>0</v>
      </c>
      <c r="F23">
        <v>1</v>
      </c>
      <c r="H23">
        <f t="shared" si="0"/>
        <v>2</v>
      </c>
    </row>
    <row r="24" spans="1:8" x14ac:dyDescent="0.3">
      <c r="A24">
        <v>19</v>
      </c>
      <c r="C24">
        <v>1</v>
      </c>
      <c r="D24">
        <v>2</v>
      </c>
      <c r="E24">
        <v>0</v>
      </c>
      <c r="F24">
        <v>1</v>
      </c>
      <c r="H24">
        <f t="shared" si="0"/>
        <v>4</v>
      </c>
    </row>
    <row r="25" spans="1:8" x14ac:dyDescent="0.3">
      <c r="A25">
        <v>20</v>
      </c>
      <c r="C25">
        <v>0</v>
      </c>
      <c r="D25">
        <v>0</v>
      </c>
      <c r="E25">
        <v>1</v>
      </c>
      <c r="F25">
        <v>0</v>
      </c>
      <c r="H25">
        <f t="shared" si="0"/>
        <v>1</v>
      </c>
    </row>
    <row r="26" spans="1:8" ht="7.2" customHeight="1" x14ac:dyDescent="0.3"/>
    <row r="27" spans="1:8" x14ac:dyDescent="0.3">
      <c r="A27" s="1" t="s">
        <v>1</v>
      </c>
      <c r="B27" s="1"/>
      <c r="C27">
        <f>SUM(C6:C25)</f>
        <v>50</v>
      </c>
      <c r="D27">
        <f t="shared" ref="D27:H27" si="1">SUM(D6:D25)</f>
        <v>50</v>
      </c>
      <c r="E27">
        <f t="shared" si="1"/>
        <v>50</v>
      </c>
      <c r="F27">
        <f t="shared" si="1"/>
        <v>150</v>
      </c>
      <c r="H27">
        <f t="shared" si="1"/>
        <v>300</v>
      </c>
    </row>
    <row r="28" spans="1:8" x14ac:dyDescent="0.3">
      <c r="A28" t="s">
        <v>9</v>
      </c>
      <c r="C28">
        <f>C27*C3</f>
        <v>250</v>
      </c>
      <c r="D28">
        <f>D27*D3</f>
        <v>250</v>
      </c>
      <c r="E28">
        <f>E27*E3</f>
        <v>100</v>
      </c>
      <c r="F28">
        <f>F27*F3</f>
        <v>300</v>
      </c>
      <c r="H28">
        <f>SUM(C28:F28)</f>
        <v>900</v>
      </c>
    </row>
  </sheetData>
  <pageMargins left="0.7" right="0.7" top="0.75" bottom="0.75" header="0.3" footer="0.3"/>
  <ignoredErrors>
    <ignoredError sqref="H8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123"/>
  <sheetViews>
    <sheetView tabSelected="1" topLeftCell="A40" zoomScale="85" zoomScaleNormal="85" workbookViewId="0">
      <selection activeCell="J54" sqref="J54:K73"/>
    </sheetView>
  </sheetViews>
  <sheetFormatPr defaultColWidth="8.77734375" defaultRowHeight="14.4" x14ac:dyDescent="0.3"/>
  <cols>
    <col min="2" max="2" width="9.33203125" customWidth="1"/>
    <col min="7" max="7" width="9.77734375" customWidth="1"/>
    <col min="12" max="12" width="9.88671875" customWidth="1"/>
    <col min="15" max="15" width="15.109375" customWidth="1"/>
    <col min="16" max="16" width="12.109375" customWidth="1"/>
    <col min="17" max="17" width="10.77734375" customWidth="1"/>
    <col min="18" max="18" width="12.21875" customWidth="1"/>
    <col min="20" max="20" width="11.88671875" customWidth="1"/>
    <col min="21" max="21" width="10.5546875" customWidth="1"/>
    <col min="22" max="22" width="11" customWidth="1"/>
    <col min="23" max="24" width="10.6640625" customWidth="1"/>
    <col min="25" max="25" width="10.77734375" customWidth="1"/>
    <col min="26" max="26" width="16" customWidth="1"/>
    <col min="27" max="27" width="13.5546875" customWidth="1"/>
    <col min="28" max="28" width="13.77734375" customWidth="1"/>
    <col min="32" max="32" width="12.5546875" customWidth="1"/>
    <col min="33" max="33" width="14.44140625" customWidth="1"/>
    <col min="34" max="34" width="13.21875" customWidth="1"/>
    <col min="37" max="37" width="13.21875" customWidth="1"/>
  </cols>
  <sheetData>
    <row r="1" spans="1:37" x14ac:dyDescent="0.3">
      <c r="A1" s="1" t="s">
        <v>6</v>
      </c>
      <c r="B1" s="1"/>
      <c r="C1" s="1" t="s">
        <v>2</v>
      </c>
      <c r="D1" s="1"/>
      <c r="E1" s="1"/>
      <c r="F1" s="1"/>
      <c r="G1" s="1"/>
      <c r="H1" s="1" t="s">
        <v>3</v>
      </c>
      <c r="I1" s="1"/>
      <c r="J1" s="1"/>
      <c r="K1" s="1"/>
      <c r="L1" s="1"/>
      <c r="M1" s="1" t="s">
        <v>4</v>
      </c>
      <c r="N1" s="1"/>
      <c r="O1" s="1"/>
      <c r="P1" s="1"/>
      <c r="Q1" s="1"/>
      <c r="R1" s="1" t="s">
        <v>5</v>
      </c>
      <c r="S1" s="1"/>
      <c r="T1" s="1"/>
      <c r="U1" s="1"/>
      <c r="V1" s="1"/>
    </row>
    <row r="2" spans="1:37" x14ac:dyDescent="0.3">
      <c r="A2" t="s">
        <v>7</v>
      </c>
      <c r="C2">
        <v>7</v>
      </c>
      <c r="E2" t="s">
        <v>39</v>
      </c>
      <c r="H2">
        <v>1</v>
      </c>
      <c r="J2" t="s">
        <v>39</v>
      </c>
      <c r="M2">
        <v>7</v>
      </c>
      <c r="O2" t="s">
        <v>39</v>
      </c>
      <c r="R2">
        <v>1</v>
      </c>
      <c r="T2" t="s">
        <v>39</v>
      </c>
    </row>
    <row r="3" spans="1:37" x14ac:dyDescent="0.3">
      <c r="A3" t="s">
        <v>8</v>
      </c>
      <c r="C3">
        <f>AF5</f>
        <v>5</v>
      </c>
      <c r="E3">
        <f>AB5</f>
        <v>2</v>
      </c>
      <c r="H3">
        <f>AG5</f>
        <v>5</v>
      </c>
      <c r="J3">
        <f>AC5</f>
        <v>4</v>
      </c>
      <c r="M3">
        <f>AH5</f>
        <v>2</v>
      </c>
      <c r="O3">
        <f>AD5</f>
        <v>1</v>
      </c>
      <c r="R3">
        <f>AI5</f>
        <v>2</v>
      </c>
      <c r="T3">
        <f>AE5</f>
        <v>3</v>
      </c>
    </row>
    <row r="4" spans="1:37" x14ac:dyDescent="0.3">
      <c r="W4" s="5" t="s">
        <v>16</v>
      </c>
      <c r="X4" s="5"/>
      <c r="AB4" s="1" t="s">
        <v>40</v>
      </c>
    </row>
    <row r="5" spans="1:37" x14ac:dyDescent="0.3">
      <c r="A5" s="2" t="s">
        <v>0</v>
      </c>
      <c r="B5" s="1"/>
      <c r="C5" t="s">
        <v>10</v>
      </c>
      <c r="D5" t="s">
        <v>12</v>
      </c>
      <c r="E5" t="s">
        <v>13</v>
      </c>
      <c r="F5" t="s">
        <v>11</v>
      </c>
      <c r="H5" t="s">
        <v>10</v>
      </c>
      <c r="I5" t="s">
        <v>12</v>
      </c>
      <c r="J5" t="s">
        <v>13</v>
      </c>
      <c r="K5" t="s">
        <v>11</v>
      </c>
      <c r="M5" t="s">
        <v>10</v>
      </c>
      <c r="N5" t="s">
        <v>12</v>
      </c>
      <c r="O5" t="s">
        <v>13</v>
      </c>
      <c r="P5" t="s">
        <v>11</v>
      </c>
      <c r="R5" t="s">
        <v>10</v>
      </c>
      <c r="S5" t="s">
        <v>12</v>
      </c>
      <c r="T5" t="s">
        <v>13</v>
      </c>
      <c r="U5" t="s">
        <v>11</v>
      </c>
      <c r="W5" s="2" t="s">
        <v>17</v>
      </c>
      <c r="X5" s="2" t="s">
        <v>18</v>
      </c>
      <c r="Z5" s="1" t="s">
        <v>20</v>
      </c>
      <c r="AB5">
        <v>2</v>
      </c>
      <c r="AC5">
        <v>4</v>
      </c>
      <c r="AD5">
        <v>1</v>
      </c>
      <c r="AE5">
        <v>3</v>
      </c>
      <c r="AF5">
        <v>5</v>
      </c>
      <c r="AG5">
        <v>5</v>
      </c>
      <c r="AH5">
        <v>2</v>
      </c>
      <c r="AI5">
        <v>2</v>
      </c>
    </row>
    <row r="6" spans="1:37" x14ac:dyDescent="0.3">
      <c r="A6">
        <v>1</v>
      </c>
      <c r="C6">
        <f>AB6</f>
        <v>10</v>
      </c>
      <c r="D6">
        <f t="shared" ref="D6:D25" si="0">AH6</f>
        <v>7</v>
      </c>
      <c r="E6">
        <f>C6-D6</f>
        <v>3</v>
      </c>
      <c r="F6">
        <f>SUM($E$6:E6)</f>
        <v>3</v>
      </c>
      <c r="H6">
        <f>AC6</f>
        <v>6</v>
      </c>
      <c r="I6">
        <f t="shared" ref="I6:I25" si="1">AI6</f>
        <v>0</v>
      </c>
      <c r="J6">
        <f>H6-I6</f>
        <v>6</v>
      </c>
      <c r="K6">
        <f>SUM($J$6:J6)</f>
        <v>6</v>
      </c>
      <c r="M6">
        <f>AD6</f>
        <v>7</v>
      </c>
      <c r="N6">
        <f t="shared" ref="N6:N25" si="2">AJ6</f>
        <v>7</v>
      </c>
      <c r="O6">
        <f>M6-N6</f>
        <v>0</v>
      </c>
      <c r="P6">
        <f>SUM($O$6:O6)</f>
        <v>0</v>
      </c>
      <c r="R6">
        <f>AE6</f>
        <v>25</v>
      </c>
      <c r="S6">
        <f t="shared" ref="S6:S25" si="3">AK6</f>
        <v>0</v>
      </c>
      <c r="T6">
        <f>R6-S6</f>
        <v>25</v>
      </c>
      <c r="U6">
        <f>SUM($T$6:T6)</f>
        <v>25</v>
      </c>
      <c r="W6">
        <f>C6+H6+M6+R6</f>
        <v>48</v>
      </c>
      <c r="X6">
        <f>D6+I6+N6+S6</f>
        <v>14</v>
      </c>
      <c r="Z6">
        <f>(25*AF6)-(D6*$C$3+I6*$H$3+N6*$M$3+S6*$R$3)</f>
        <v>1</v>
      </c>
      <c r="AB6">
        <v>10</v>
      </c>
      <c r="AC6">
        <v>6</v>
      </c>
      <c r="AD6">
        <v>7</v>
      </c>
      <c r="AE6">
        <v>25</v>
      </c>
      <c r="AF6">
        <v>2</v>
      </c>
      <c r="AG6">
        <v>1</v>
      </c>
      <c r="AH6">
        <v>7</v>
      </c>
      <c r="AI6">
        <v>0</v>
      </c>
      <c r="AJ6">
        <v>7</v>
      </c>
      <c r="AK6">
        <v>0</v>
      </c>
    </row>
    <row r="7" spans="1:37" x14ac:dyDescent="0.3">
      <c r="A7">
        <v>2</v>
      </c>
      <c r="C7">
        <f t="shared" ref="C7:C25" si="4">AB7</f>
        <v>7</v>
      </c>
      <c r="D7">
        <f t="shared" si="0"/>
        <v>6</v>
      </c>
      <c r="E7">
        <f t="shared" ref="E7:E25" si="5">C7-D7</f>
        <v>1</v>
      </c>
      <c r="F7">
        <f>SUM($E$6:E7)</f>
        <v>4</v>
      </c>
      <c r="H7">
        <f t="shared" ref="H7:H25" si="6">AC7</f>
        <v>9</v>
      </c>
      <c r="I7">
        <f t="shared" si="1"/>
        <v>0</v>
      </c>
      <c r="J7">
        <f t="shared" ref="J7:J25" si="7">H7-I7</f>
        <v>9</v>
      </c>
      <c r="K7">
        <f>SUM($J$6:J7)</f>
        <v>15</v>
      </c>
      <c r="M7">
        <f t="shared" ref="M7:M25" si="8">AD7</f>
        <v>8</v>
      </c>
      <c r="N7">
        <f t="shared" si="2"/>
        <v>8</v>
      </c>
      <c r="O7">
        <f t="shared" ref="O7:O25" si="9">M7-N7</f>
        <v>0</v>
      </c>
      <c r="P7">
        <f>SUM($O$6:O7)</f>
        <v>0</v>
      </c>
      <c r="R7">
        <f t="shared" ref="R7:R25" si="10">AE7</f>
        <v>20</v>
      </c>
      <c r="S7">
        <f t="shared" si="3"/>
        <v>2</v>
      </c>
      <c r="T7">
        <f t="shared" ref="T7:T25" si="11">R7-S7</f>
        <v>18</v>
      </c>
      <c r="U7">
        <f>SUM($T$6:T7)</f>
        <v>43</v>
      </c>
      <c r="W7">
        <f t="shared" ref="W7:W25" si="12">C7+H7+M7+R7</f>
        <v>44</v>
      </c>
      <c r="X7">
        <f t="shared" ref="X7:X25" si="13">D7+I7+N7+S7</f>
        <v>16</v>
      </c>
      <c r="Z7">
        <f t="shared" ref="Z7:Z25" si="14">(25*AF7)-(D7*$C$3+I7*$H$3+N7*$M$3+S7*$R$3)</f>
        <v>0</v>
      </c>
      <c r="AB7">
        <v>7</v>
      </c>
      <c r="AC7">
        <v>9</v>
      </c>
      <c r="AD7">
        <v>8</v>
      </c>
      <c r="AE7">
        <v>20</v>
      </c>
      <c r="AF7">
        <v>2</v>
      </c>
      <c r="AG7">
        <v>1</v>
      </c>
      <c r="AH7">
        <v>6</v>
      </c>
      <c r="AI7">
        <v>0</v>
      </c>
      <c r="AJ7">
        <v>8</v>
      </c>
      <c r="AK7">
        <v>2</v>
      </c>
    </row>
    <row r="8" spans="1:37" x14ac:dyDescent="0.3">
      <c r="A8">
        <v>3</v>
      </c>
      <c r="C8">
        <f t="shared" si="4"/>
        <v>6</v>
      </c>
      <c r="D8">
        <f t="shared" si="0"/>
        <v>8</v>
      </c>
      <c r="E8">
        <f t="shared" si="5"/>
        <v>-2</v>
      </c>
      <c r="F8">
        <f>SUM($E$6:E8)</f>
        <v>2</v>
      </c>
      <c r="H8">
        <f t="shared" si="6"/>
        <v>5</v>
      </c>
      <c r="I8">
        <f t="shared" si="1"/>
        <v>0</v>
      </c>
      <c r="J8">
        <f t="shared" si="7"/>
        <v>5</v>
      </c>
      <c r="K8">
        <f>SUM($J$6:J8)</f>
        <v>20</v>
      </c>
      <c r="M8">
        <f t="shared" si="8"/>
        <v>4</v>
      </c>
      <c r="N8">
        <f t="shared" si="2"/>
        <v>4</v>
      </c>
      <c r="O8">
        <f t="shared" si="9"/>
        <v>0</v>
      </c>
      <c r="P8">
        <f>SUM($O$6:O8)</f>
        <v>0</v>
      </c>
      <c r="R8">
        <f t="shared" si="10"/>
        <v>15</v>
      </c>
      <c r="S8">
        <f t="shared" si="3"/>
        <v>1</v>
      </c>
      <c r="T8">
        <f t="shared" si="11"/>
        <v>14</v>
      </c>
      <c r="U8">
        <f>SUM($T$6:T8)</f>
        <v>57</v>
      </c>
      <c r="W8">
        <f t="shared" si="12"/>
        <v>30</v>
      </c>
      <c r="X8">
        <f t="shared" si="13"/>
        <v>13</v>
      </c>
      <c r="Z8">
        <f t="shared" si="14"/>
        <v>0</v>
      </c>
      <c r="AB8">
        <v>6</v>
      </c>
      <c r="AC8">
        <v>5</v>
      </c>
      <c r="AD8">
        <v>4</v>
      </c>
      <c r="AE8">
        <v>15</v>
      </c>
      <c r="AF8">
        <v>2</v>
      </c>
      <c r="AG8">
        <v>1</v>
      </c>
      <c r="AH8">
        <v>8</v>
      </c>
      <c r="AI8">
        <v>0</v>
      </c>
      <c r="AJ8">
        <v>4</v>
      </c>
      <c r="AK8">
        <v>1</v>
      </c>
    </row>
    <row r="9" spans="1:37" x14ac:dyDescent="0.3">
      <c r="A9">
        <v>4</v>
      </c>
      <c r="C9">
        <f t="shared" si="4"/>
        <v>7</v>
      </c>
      <c r="D9">
        <f t="shared" si="0"/>
        <v>6</v>
      </c>
      <c r="E9">
        <f t="shared" si="5"/>
        <v>1</v>
      </c>
      <c r="F9">
        <f>SUM($E$6:E9)</f>
        <v>3</v>
      </c>
      <c r="H9">
        <f t="shared" si="6"/>
        <v>4</v>
      </c>
      <c r="I9">
        <f t="shared" si="1"/>
        <v>0</v>
      </c>
      <c r="J9">
        <f t="shared" si="7"/>
        <v>4</v>
      </c>
      <c r="K9">
        <f>SUM($J$6:J9)</f>
        <v>24</v>
      </c>
      <c r="M9">
        <f t="shared" si="8"/>
        <v>8</v>
      </c>
      <c r="N9">
        <f t="shared" si="2"/>
        <v>8</v>
      </c>
      <c r="O9">
        <f t="shared" si="9"/>
        <v>0</v>
      </c>
      <c r="P9">
        <f>SUM($O$6:O9)</f>
        <v>0</v>
      </c>
      <c r="R9">
        <f t="shared" si="10"/>
        <v>8</v>
      </c>
      <c r="S9">
        <f t="shared" si="3"/>
        <v>2</v>
      </c>
      <c r="T9">
        <f t="shared" si="11"/>
        <v>6</v>
      </c>
      <c r="U9">
        <f>SUM($T$6:T9)</f>
        <v>63</v>
      </c>
      <c r="W9">
        <f t="shared" si="12"/>
        <v>27</v>
      </c>
      <c r="X9">
        <f t="shared" si="13"/>
        <v>16</v>
      </c>
      <c r="Z9">
        <f t="shared" si="14"/>
        <v>0</v>
      </c>
      <c r="AB9">
        <v>7</v>
      </c>
      <c r="AC9">
        <v>4</v>
      </c>
      <c r="AD9">
        <v>8</v>
      </c>
      <c r="AE9">
        <v>8</v>
      </c>
      <c r="AF9">
        <v>2</v>
      </c>
      <c r="AG9">
        <v>1</v>
      </c>
      <c r="AH9">
        <v>6</v>
      </c>
      <c r="AI9">
        <v>0</v>
      </c>
      <c r="AJ9">
        <v>8</v>
      </c>
      <c r="AK9">
        <v>2</v>
      </c>
    </row>
    <row r="10" spans="1:37" x14ac:dyDescent="0.3">
      <c r="A10">
        <v>5</v>
      </c>
      <c r="C10">
        <f t="shared" si="4"/>
        <v>2</v>
      </c>
      <c r="D10">
        <f t="shared" si="0"/>
        <v>5</v>
      </c>
      <c r="E10">
        <f t="shared" si="5"/>
        <v>-3</v>
      </c>
      <c r="F10">
        <f>SUM($E$6:E10)</f>
        <v>0</v>
      </c>
      <c r="H10">
        <f t="shared" si="6"/>
        <v>5</v>
      </c>
      <c r="I10">
        <f t="shared" si="1"/>
        <v>0</v>
      </c>
      <c r="J10">
        <f t="shared" si="7"/>
        <v>5</v>
      </c>
      <c r="K10">
        <f>SUM($J$6:J10)</f>
        <v>29</v>
      </c>
      <c r="M10">
        <f t="shared" si="8"/>
        <v>1</v>
      </c>
      <c r="N10">
        <f t="shared" si="2"/>
        <v>1</v>
      </c>
      <c r="O10">
        <f t="shared" si="9"/>
        <v>0</v>
      </c>
      <c r="P10">
        <f>SUM($O$6:O10)</f>
        <v>0</v>
      </c>
      <c r="R10">
        <f t="shared" si="10"/>
        <v>14</v>
      </c>
      <c r="S10">
        <f t="shared" si="3"/>
        <v>11</v>
      </c>
      <c r="T10">
        <f t="shared" si="11"/>
        <v>3</v>
      </c>
      <c r="U10">
        <f>SUM($T$6:T10)</f>
        <v>66</v>
      </c>
      <c r="W10">
        <f t="shared" si="12"/>
        <v>22</v>
      </c>
      <c r="X10">
        <f t="shared" si="13"/>
        <v>17</v>
      </c>
      <c r="Z10">
        <f t="shared" si="14"/>
        <v>1</v>
      </c>
      <c r="AB10">
        <v>2</v>
      </c>
      <c r="AC10">
        <v>5</v>
      </c>
      <c r="AD10">
        <v>1</v>
      </c>
      <c r="AE10">
        <v>14</v>
      </c>
      <c r="AF10">
        <v>2</v>
      </c>
      <c r="AG10">
        <v>1</v>
      </c>
      <c r="AH10">
        <v>5</v>
      </c>
      <c r="AI10">
        <v>0</v>
      </c>
      <c r="AJ10">
        <v>1</v>
      </c>
      <c r="AK10">
        <v>11</v>
      </c>
    </row>
    <row r="11" spans="1:37" x14ac:dyDescent="0.3">
      <c r="A11">
        <v>6</v>
      </c>
      <c r="C11">
        <f t="shared" si="4"/>
        <v>3</v>
      </c>
      <c r="D11">
        <f t="shared" si="0"/>
        <v>3</v>
      </c>
      <c r="E11">
        <f t="shared" si="5"/>
        <v>0</v>
      </c>
      <c r="F11">
        <f>SUM($E$6:E11)</f>
        <v>0</v>
      </c>
      <c r="H11">
        <f t="shared" si="6"/>
        <v>3</v>
      </c>
      <c r="I11">
        <f t="shared" si="1"/>
        <v>0</v>
      </c>
      <c r="J11">
        <f t="shared" si="7"/>
        <v>3</v>
      </c>
      <c r="K11">
        <f>SUM($J$6:J11)</f>
        <v>32</v>
      </c>
      <c r="M11">
        <f t="shared" si="8"/>
        <v>2</v>
      </c>
      <c r="N11">
        <f t="shared" si="2"/>
        <v>2</v>
      </c>
      <c r="O11">
        <f t="shared" si="9"/>
        <v>0</v>
      </c>
      <c r="P11">
        <f>SUM($O$6:O11)</f>
        <v>0</v>
      </c>
      <c r="R11">
        <f t="shared" si="10"/>
        <v>16</v>
      </c>
      <c r="S11">
        <f t="shared" si="3"/>
        <v>15</v>
      </c>
      <c r="T11">
        <f t="shared" si="11"/>
        <v>1</v>
      </c>
      <c r="U11">
        <f>SUM($T$6:T11)</f>
        <v>67</v>
      </c>
      <c r="W11">
        <f t="shared" si="12"/>
        <v>24</v>
      </c>
      <c r="X11">
        <f t="shared" si="13"/>
        <v>20</v>
      </c>
      <c r="Z11">
        <f t="shared" si="14"/>
        <v>1</v>
      </c>
      <c r="AB11">
        <v>3</v>
      </c>
      <c r="AC11">
        <v>3</v>
      </c>
      <c r="AD11">
        <v>2</v>
      </c>
      <c r="AE11">
        <v>16</v>
      </c>
      <c r="AF11">
        <v>2</v>
      </c>
      <c r="AG11">
        <v>1</v>
      </c>
      <c r="AH11">
        <v>3</v>
      </c>
      <c r="AI11">
        <v>0</v>
      </c>
      <c r="AJ11">
        <v>2</v>
      </c>
      <c r="AK11">
        <v>15</v>
      </c>
    </row>
    <row r="12" spans="1:37" x14ac:dyDescent="0.3">
      <c r="A12">
        <v>7</v>
      </c>
      <c r="C12">
        <f t="shared" si="4"/>
        <v>1</v>
      </c>
      <c r="D12">
        <f t="shared" si="0"/>
        <v>1</v>
      </c>
      <c r="E12">
        <f t="shared" si="5"/>
        <v>0</v>
      </c>
      <c r="F12">
        <f>SUM($E$6:E12)</f>
        <v>0</v>
      </c>
      <c r="H12">
        <f t="shared" si="6"/>
        <v>2</v>
      </c>
      <c r="I12">
        <f t="shared" si="1"/>
        <v>0</v>
      </c>
      <c r="J12">
        <f t="shared" si="7"/>
        <v>2</v>
      </c>
      <c r="K12">
        <f>SUM($J$6:J12)</f>
        <v>34</v>
      </c>
      <c r="M12">
        <f t="shared" si="8"/>
        <v>1</v>
      </c>
      <c r="N12">
        <f t="shared" si="2"/>
        <v>1</v>
      </c>
      <c r="O12">
        <f t="shared" si="9"/>
        <v>0</v>
      </c>
      <c r="P12">
        <f>SUM($O$6:O12)</f>
        <v>0</v>
      </c>
      <c r="R12">
        <f t="shared" si="10"/>
        <v>15</v>
      </c>
      <c r="S12">
        <f t="shared" si="3"/>
        <v>21</v>
      </c>
      <c r="T12">
        <f t="shared" si="11"/>
        <v>-6</v>
      </c>
      <c r="U12">
        <f>SUM($T$6:T12)</f>
        <v>61</v>
      </c>
      <c r="W12">
        <f t="shared" si="12"/>
        <v>19</v>
      </c>
      <c r="X12">
        <f t="shared" si="13"/>
        <v>23</v>
      </c>
      <c r="Z12">
        <f t="shared" si="14"/>
        <v>1</v>
      </c>
      <c r="AB12">
        <v>1</v>
      </c>
      <c r="AC12">
        <v>2</v>
      </c>
      <c r="AD12">
        <v>1</v>
      </c>
      <c r="AE12">
        <v>15</v>
      </c>
      <c r="AF12">
        <v>2</v>
      </c>
      <c r="AG12">
        <v>1</v>
      </c>
      <c r="AH12">
        <v>1</v>
      </c>
      <c r="AI12">
        <v>0</v>
      </c>
      <c r="AJ12">
        <v>1</v>
      </c>
      <c r="AK12">
        <v>21</v>
      </c>
    </row>
    <row r="13" spans="1:37" x14ac:dyDescent="0.3">
      <c r="A13">
        <v>8</v>
      </c>
      <c r="C13">
        <f t="shared" si="4"/>
        <v>1</v>
      </c>
      <c r="D13">
        <f t="shared" si="0"/>
        <v>1</v>
      </c>
      <c r="E13">
        <f t="shared" si="5"/>
        <v>0</v>
      </c>
      <c r="F13">
        <f>SUM($E$6:E13)</f>
        <v>0</v>
      </c>
      <c r="H13">
        <f t="shared" si="6"/>
        <v>1</v>
      </c>
      <c r="I13">
        <f t="shared" si="1"/>
        <v>0</v>
      </c>
      <c r="J13">
        <f t="shared" si="7"/>
        <v>1</v>
      </c>
      <c r="K13">
        <f>SUM($J$6:J13)</f>
        <v>35</v>
      </c>
      <c r="M13">
        <f t="shared" si="8"/>
        <v>3</v>
      </c>
      <c r="N13">
        <f t="shared" si="2"/>
        <v>3</v>
      </c>
      <c r="O13">
        <f t="shared" si="9"/>
        <v>0</v>
      </c>
      <c r="P13">
        <f>SUM($O$6:O13)</f>
        <v>0</v>
      </c>
      <c r="R13">
        <f t="shared" si="10"/>
        <v>9</v>
      </c>
      <c r="S13">
        <f t="shared" si="3"/>
        <v>19</v>
      </c>
      <c r="T13">
        <f t="shared" si="11"/>
        <v>-10</v>
      </c>
      <c r="U13">
        <f>SUM($T$6:T13)</f>
        <v>51</v>
      </c>
      <c r="W13">
        <f t="shared" si="12"/>
        <v>14</v>
      </c>
      <c r="X13">
        <f t="shared" si="13"/>
        <v>23</v>
      </c>
      <c r="Z13">
        <f t="shared" si="14"/>
        <v>1</v>
      </c>
      <c r="AB13">
        <v>1</v>
      </c>
      <c r="AC13">
        <v>1</v>
      </c>
      <c r="AD13">
        <v>3</v>
      </c>
      <c r="AE13">
        <v>9</v>
      </c>
      <c r="AF13">
        <v>2</v>
      </c>
      <c r="AG13">
        <v>1</v>
      </c>
      <c r="AH13">
        <v>1</v>
      </c>
      <c r="AI13">
        <v>0</v>
      </c>
      <c r="AJ13">
        <v>3</v>
      </c>
      <c r="AK13">
        <v>19</v>
      </c>
    </row>
    <row r="14" spans="1:37" x14ac:dyDescent="0.3">
      <c r="A14">
        <v>9</v>
      </c>
      <c r="C14">
        <f t="shared" si="4"/>
        <v>1</v>
      </c>
      <c r="D14">
        <f t="shared" si="0"/>
        <v>1</v>
      </c>
      <c r="E14">
        <f t="shared" si="5"/>
        <v>0</v>
      </c>
      <c r="F14">
        <f>SUM($E$6:E14)</f>
        <v>0</v>
      </c>
      <c r="H14">
        <f t="shared" si="6"/>
        <v>4</v>
      </c>
      <c r="I14">
        <f t="shared" si="1"/>
        <v>0</v>
      </c>
      <c r="J14">
        <f t="shared" si="7"/>
        <v>4</v>
      </c>
      <c r="K14">
        <f>SUM($J$6:J14)</f>
        <v>39</v>
      </c>
      <c r="M14">
        <f t="shared" si="8"/>
        <v>1</v>
      </c>
      <c r="N14">
        <f t="shared" si="2"/>
        <v>1</v>
      </c>
      <c r="O14">
        <f t="shared" si="9"/>
        <v>0</v>
      </c>
      <c r="P14">
        <f>SUM($O$6:O14)</f>
        <v>0</v>
      </c>
      <c r="R14">
        <f t="shared" si="10"/>
        <v>7</v>
      </c>
      <c r="S14">
        <f t="shared" si="3"/>
        <v>21</v>
      </c>
      <c r="T14">
        <f t="shared" si="11"/>
        <v>-14</v>
      </c>
      <c r="U14">
        <f>SUM($T$6:T14)</f>
        <v>37</v>
      </c>
      <c r="W14">
        <f t="shared" si="12"/>
        <v>13</v>
      </c>
      <c r="X14">
        <f t="shared" si="13"/>
        <v>23</v>
      </c>
      <c r="Z14">
        <f t="shared" si="14"/>
        <v>1</v>
      </c>
      <c r="AB14">
        <v>1</v>
      </c>
      <c r="AC14">
        <v>4</v>
      </c>
      <c r="AD14">
        <v>1</v>
      </c>
      <c r="AE14">
        <v>7</v>
      </c>
      <c r="AF14">
        <v>2</v>
      </c>
      <c r="AG14">
        <v>1</v>
      </c>
      <c r="AH14">
        <v>1</v>
      </c>
      <c r="AI14">
        <v>0</v>
      </c>
      <c r="AJ14">
        <v>1</v>
      </c>
      <c r="AK14">
        <v>21</v>
      </c>
    </row>
    <row r="15" spans="1:37" x14ac:dyDescent="0.3">
      <c r="A15">
        <v>10</v>
      </c>
      <c r="C15">
        <f t="shared" si="4"/>
        <v>2</v>
      </c>
      <c r="D15">
        <f t="shared" si="0"/>
        <v>2</v>
      </c>
      <c r="E15">
        <f t="shared" si="5"/>
        <v>0</v>
      </c>
      <c r="F15">
        <f>SUM($E$6:E15)</f>
        <v>0</v>
      </c>
      <c r="H15">
        <f t="shared" si="6"/>
        <v>2</v>
      </c>
      <c r="I15">
        <f t="shared" si="1"/>
        <v>0</v>
      </c>
      <c r="J15">
        <f t="shared" si="7"/>
        <v>2</v>
      </c>
      <c r="K15">
        <f>SUM($J$6:J15)</f>
        <v>41</v>
      </c>
      <c r="M15">
        <f t="shared" si="8"/>
        <v>2</v>
      </c>
      <c r="N15">
        <f t="shared" si="2"/>
        <v>2</v>
      </c>
      <c r="O15">
        <f t="shared" si="9"/>
        <v>0</v>
      </c>
      <c r="P15">
        <f>SUM($O$6:O15)</f>
        <v>0</v>
      </c>
      <c r="R15">
        <f t="shared" si="10"/>
        <v>5</v>
      </c>
      <c r="S15">
        <f t="shared" si="3"/>
        <v>18</v>
      </c>
      <c r="T15">
        <f t="shared" si="11"/>
        <v>-13</v>
      </c>
      <c r="U15">
        <f>SUM($T$6:T15)</f>
        <v>24</v>
      </c>
      <c r="W15">
        <f t="shared" si="12"/>
        <v>11</v>
      </c>
      <c r="X15">
        <f t="shared" si="13"/>
        <v>22</v>
      </c>
      <c r="Z15">
        <f t="shared" si="14"/>
        <v>0</v>
      </c>
      <c r="AB15">
        <v>2</v>
      </c>
      <c r="AC15">
        <v>2</v>
      </c>
      <c r="AD15">
        <v>2</v>
      </c>
      <c r="AE15">
        <v>5</v>
      </c>
      <c r="AF15">
        <v>2</v>
      </c>
      <c r="AG15">
        <v>1</v>
      </c>
      <c r="AH15">
        <v>2</v>
      </c>
      <c r="AI15">
        <v>0</v>
      </c>
      <c r="AJ15">
        <v>2</v>
      </c>
      <c r="AK15">
        <v>18</v>
      </c>
    </row>
    <row r="16" spans="1:37" x14ac:dyDescent="0.3">
      <c r="A16">
        <v>11</v>
      </c>
      <c r="C16">
        <f t="shared" si="4"/>
        <v>1</v>
      </c>
      <c r="D16">
        <f t="shared" si="0"/>
        <v>1</v>
      </c>
      <c r="E16">
        <f t="shared" si="5"/>
        <v>0</v>
      </c>
      <c r="F16">
        <f>SUM($E$6:E16)</f>
        <v>0</v>
      </c>
      <c r="H16">
        <f t="shared" si="6"/>
        <v>1</v>
      </c>
      <c r="I16">
        <f t="shared" si="1"/>
        <v>0</v>
      </c>
      <c r="J16">
        <f t="shared" si="7"/>
        <v>1</v>
      </c>
      <c r="K16">
        <f>SUM($J$6:J16)</f>
        <v>42</v>
      </c>
      <c r="M16">
        <f t="shared" si="8"/>
        <v>1</v>
      </c>
      <c r="N16">
        <f t="shared" si="2"/>
        <v>1</v>
      </c>
      <c r="O16">
        <f t="shared" si="9"/>
        <v>0</v>
      </c>
      <c r="P16">
        <f>SUM($O$6:O16)</f>
        <v>0</v>
      </c>
      <c r="R16">
        <f t="shared" si="10"/>
        <v>5</v>
      </c>
      <c r="S16">
        <f t="shared" si="3"/>
        <v>21</v>
      </c>
      <c r="T16">
        <f t="shared" si="11"/>
        <v>-16</v>
      </c>
      <c r="U16">
        <f>SUM($T$6:T16)</f>
        <v>8</v>
      </c>
      <c r="W16">
        <f t="shared" si="12"/>
        <v>8</v>
      </c>
      <c r="X16">
        <f t="shared" si="13"/>
        <v>23</v>
      </c>
      <c r="Z16">
        <f t="shared" si="14"/>
        <v>1</v>
      </c>
      <c r="AB16">
        <v>1</v>
      </c>
      <c r="AC16">
        <v>1</v>
      </c>
      <c r="AD16">
        <v>1</v>
      </c>
      <c r="AE16">
        <v>5</v>
      </c>
      <c r="AF16">
        <v>2</v>
      </c>
      <c r="AG16">
        <v>1</v>
      </c>
      <c r="AH16">
        <v>1</v>
      </c>
      <c r="AI16">
        <v>0</v>
      </c>
      <c r="AJ16">
        <v>1</v>
      </c>
      <c r="AK16">
        <v>21</v>
      </c>
    </row>
    <row r="17" spans="1:41" x14ac:dyDescent="0.3">
      <c r="A17">
        <v>12</v>
      </c>
      <c r="C17">
        <f t="shared" si="4"/>
        <v>1</v>
      </c>
      <c r="D17">
        <f t="shared" si="0"/>
        <v>1</v>
      </c>
      <c r="E17">
        <f t="shared" si="5"/>
        <v>0</v>
      </c>
      <c r="F17">
        <f>SUM($E$6:E17)</f>
        <v>0</v>
      </c>
      <c r="H17">
        <f t="shared" si="6"/>
        <v>0</v>
      </c>
      <c r="I17">
        <f t="shared" si="1"/>
        <v>3</v>
      </c>
      <c r="J17">
        <f t="shared" si="7"/>
        <v>-3</v>
      </c>
      <c r="K17">
        <f>SUM($J$6:J17)</f>
        <v>39</v>
      </c>
      <c r="M17">
        <f t="shared" si="8"/>
        <v>4</v>
      </c>
      <c r="N17">
        <f t="shared" si="2"/>
        <v>4</v>
      </c>
      <c r="O17">
        <f t="shared" si="9"/>
        <v>0</v>
      </c>
      <c r="P17">
        <f>SUM($O$6:O17)</f>
        <v>0</v>
      </c>
      <c r="R17">
        <f t="shared" si="10"/>
        <v>3</v>
      </c>
      <c r="S17">
        <f t="shared" si="3"/>
        <v>11</v>
      </c>
      <c r="T17">
        <f t="shared" si="11"/>
        <v>-8</v>
      </c>
      <c r="U17">
        <f>SUM($T$6:T17)</f>
        <v>0</v>
      </c>
      <c r="W17">
        <f t="shared" si="12"/>
        <v>8</v>
      </c>
      <c r="X17">
        <f t="shared" si="13"/>
        <v>19</v>
      </c>
      <c r="Z17">
        <f t="shared" si="14"/>
        <v>0</v>
      </c>
      <c r="AB17">
        <v>1</v>
      </c>
      <c r="AC17">
        <v>0</v>
      </c>
      <c r="AD17">
        <v>4</v>
      </c>
      <c r="AE17">
        <v>3</v>
      </c>
      <c r="AF17">
        <v>2</v>
      </c>
      <c r="AG17">
        <v>1</v>
      </c>
      <c r="AH17">
        <v>1</v>
      </c>
      <c r="AI17">
        <v>3</v>
      </c>
      <c r="AJ17">
        <v>4</v>
      </c>
      <c r="AK17">
        <v>11</v>
      </c>
    </row>
    <row r="18" spans="1:41" x14ac:dyDescent="0.3">
      <c r="A18">
        <v>13</v>
      </c>
      <c r="C18">
        <f t="shared" si="4"/>
        <v>2</v>
      </c>
      <c r="D18">
        <f t="shared" si="0"/>
        <v>2</v>
      </c>
      <c r="E18">
        <f t="shared" si="5"/>
        <v>0</v>
      </c>
      <c r="F18">
        <f>SUM($E$6:E18)</f>
        <v>0</v>
      </c>
      <c r="H18">
        <f t="shared" si="6"/>
        <v>1</v>
      </c>
      <c r="I18">
        <f t="shared" si="1"/>
        <v>6</v>
      </c>
      <c r="J18">
        <f t="shared" si="7"/>
        <v>-5</v>
      </c>
      <c r="K18">
        <f>SUM($J$6:J18)</f>
        <v>34</v>
      </c>
      <c r="M18">
        <f t="shared" si="8"/>
        <v>3</v>
      </c>
      <c r="N18">
        <f t="shared" si="2"/>
        <v>3</v>
      </c>
      <c r="O18">
        <f t="shared" si="9"/>
        <v>0</v>
      </c>
      <c r="P18">
        <f>SUM($O$6:O18)</f>
        <v>0</v>
      </c>
      <c r="R18">
        <f t="shared" si="10"/>
        <v>2</v>
      </c>
      <c r="S18">
        <f t="shared" si="3"/>
        <v>2</v>
      </c>
      <c r="T18">
        <f t="shared" si="11"/>
        <v>0</v>
      </c>
      <c r="U18">
        <f>SUM($T$6:T18)</f>
        <v>0</v>
      </c>
      <c r="W18">
        <f t="shared" si="12"/>
        <v>8</v>
      </c>
      <c r="X18">
        <f t="shared" si="13"/>
        <v>13</v>
      </c>
      <c r="Z18">
        <f t="shared" si="14"/>
        <v>0</v>
      </c>
      <c r="AB18">
        <v>2</v>
      </c>
      <c r="AC18">
        <v>1</v>
      </c>
      <c r="AD18">
        <v>3</v>
      </c>
      <c r="AE18">
        <v>2</v>
      </c>
      <c r="AF18">
        <v>2</v>
      </c>
      <c r="AG18">
        <v>1</v>
      </c>
      <c r="AH18">
        <v>2</v>
      </c>
      <c r="AI18">
        <v>6</v>
      </c>
      <c r="AJ18">
        <v>3</v>
      </c>
      <c r="AK18">
        <v>2</v>
      </c>
    </row>
    <row r="19" spans="1:41" x14ac:dyDescent="0.3">
      <c r="A19">
        <v>14</v>
      </c>
      <c r="C19">
        <f t="shared" si="4"/>
        <v>2</v>
      </c>
      <c r="D19">
        <f t="shared" si="0"/>
        <v>2</v>
      </c>
      <c r="E19">
        <f t="shared" si="5"/>
        <v>0</v>
      </c>
      <c r="F19">
        <f>SUM($E$6:E19)</f>
        <v>0</v>
      </c>
      <c r="H19">
        <f t="shared" si="6"/>
        <v>1</v>
      </c>
      <c r="I19">
        <f t="shared" si="1"/>
        <v>6</v>
      </c>
      <c r="J19">
        <f t="shared" si="7"/>
        <v>-5</v>
      </c>
      <c r="K19">
        <f>SUM($J$6:J19)</f>
        <v>29</v>
      </c>
      <c r="M19">
        <f t="shared" si="8"/>
        <v>3</v>
      </c>
      <c r="N19">
        <f t="shared" si="2"/>
        <v>3</v>
      </c>
      <c r="O19">
        <f t="shared" si="9"/>
        <v>0</v>
      </c>
      <c r="P19">
        <f>SUM($O$6:O19)</f>
        <v>0</v>
      </c>
      <c r="R19">
        <f t="shared" si="10"/>
        <v>2</v>
      </c>
      <c r="S19">
        <f t="shared" si="3"/>
        <v>2</v>
      </c>
      <c r="T19">
        <f t="shared" si="11"/>
        <v>0</v>
      </c>
      <c r="U19">
        <f>SUM($T$6:T19)</f>
        <v>0</v>
      </c>
      <c r="W19">
        <f t="shared" si="12"/>
        <v>8</v>
      </c>
      <c r="X19">
        <f t="shared" si="13"/>
        <v>13</v>
      </c>
      <c r="Z19">
        <f t="shared" si="14"/>
        <v>0</v>
      </c>
      <c r="AB19">
        <v>2</v>
      </c>
      <c r="AC19">
        <v>1</v>
      </c>
      <c r="AD19">
        <v>3</v>
      </c>
      <c r="AE19">
        <v>2</v>
      </c>
      <c r="AF19">
        <v>2</v>
      </c>
      <c r="AG19">
        <v>1</v>
      </c>
      <c r="AH19">
        <v>2</v>
      </c>
      <c r="AI19">
        <v>6</v>
      </c>
      <c r="AJ19">
        <v>3</v>
      </c>
      <c r="AK19">
        <v>2</v>
      </c>
    </row>
    <row r="20" spans="1:41" x14ac:dyDescent="0.3">
      <c r="A20">
        <v>15</v>
      </c>
      <c r="C20">
        <f t="shared" si="4"/>
        <v>1</v>
      </c>
      <c r="D20">
        <f t="shared" si="0"/>
        <v>1</v>
      </c>
      <c r="E20">
        <f t="shared" si="5"/>
        <v>0</v>
      </c>
      <c r="F20">
        <f>SUM($E$6:E20)</f>
        <v>0</v>
      </c>
      <c r="H20">
        <f t="shared" si="6"/>
        <v>1</v>
      </c>
      <c r="I20">
        <f t="shared" si="1"/>
        <v>8</v>
      </c>
      <c r="J20">
        <f t="shared" si="7"/>
        <v>-7</v>
      </c>
      <c r="K20">
        <f>SUM($J$6:J20)</f>
        <v>22</v>
      </c>
      <c r="M20">
        <f t="shared" si="8"/>
        <v>0</v>
      </c>
      <c r="N20">
        <f t="shared" si="2"/>
        <v>0</v>
      </c>
      <c r="O20">
        <f t="shared" si="9"/>
        <v>0</v>
      </c>
      <c r="P20">
        <f>SUM($O$6:O20)</f>
        <v>0</v>
      </c>
      <c r="R20">
        <f t="shared" si="10"/>
        <v>1</v>
      </c>
      <c r="S20">
        <f t="shared" si="3"/>
        <v>1</v>
      </c>
      <c r="T20">
        <f t="shared" si="11"/>
        <v>0</v>
      </c>
      <c r="U20">
        <f>SUM($T$6:T20)</f>
        <v>0</v>
      </c>
      <c r="W20">
        <f t="shared" si="12"/>
        <v>3</v>
      </c>
      <c r="X20">
        <f t="shared" si="13"/>
        <v>10</v>
      </c>
      <c r="Z20">
        <f t="shared" si="14"/>
        <v>3</v>
      </c>
      <c r="AB20">
        <v>1</v>
      </c>
      <c r="AC20">
        <v>1</v>
      </c>
      <c r="AD20">
        <v>0</v>
      </c>
      <c r="AE20">
        <v>1</v>
      </c>
      <c r="AF20">
        <v>2</v>
      </c>
      <c r="AG20">
        <v>1</v>
      </c>
      <c r="AH20">
        <v>1</v>
      </c>
      <c r="AI20">
        <v>8</v>
      </c>
      <c r="AJ20">
        <v>0</v>
      </c>
      <c r="AK20">
        <v>1</v>
      </c>
    </row>
    <row r="21" spans="1:41" x14ac:dyDescent="0.3">
      <c r="A21">
        <v>16</v>
      </c>
      <c r="C21">
        <f t="shared" si="4"/>
        <v>0</v>
      </c>
      <c r="D21">
        <f t="shared" si="0"/>
        <v>0</v>
      </c>
      <c r="E21">
        <f t="shared" si="5"/>
        <v>0</v>
      </c>
      <c r="F21">
        <f>SUM($E$6:E21)</f>
        <v>0</v>
      </c>
      <c r="H21">
        <f t="shared" si="6"/>
        <v>0</v>
      </c>
      <c r="I21">
        <f t="shared" si="1"/>
        <v>9</v>
      </c>
      <c r="J21">
        <f t="shared" si="7"/>
        <v>-9</v>
      </c>
      <c r="K21">
        <f>SUM($J$6:J21)</f>
        <v>13</v>
      </c>
      <c r="M21">
        <f t="shared" si="8"/>
        <v>1</v>
      </c>
      <c r="N21">
        <f t="shared" si="2"/>
        <v>1</v>
      </c>
      <c r="O21">
        <f t="shared" si="9"/>
        <v>0</v>
      </c>
      <c r="P21">
        <f>SUM($O$6:O21)</f>
        <v>0</v>
      </c>
      <c r="R21">
        <f t="shared" si="10"/>
        <v>1</v>
      </c>
      <c r="S21">
        <f t="shared" si="3"/>
        <v>1</v>
      </c>
      <c r="T21">
        <f t="shared" si="11"/>
        <v>0</v>
      </c>
      <c r="U21">
        <f>SUM($T$6:T21)</f>
        <v>0</v>
      </c>
      <c r="W21">
        <f t="shared" si="12"/>
        <v>2</v>
      </c>
      <c r="X21">
        <f t="shared" si="13"/>
        <v>11</v>
      </c>
      <c r="Z21">
        <f t="shared" si="14"/>
        <v>1</v>
      </c>
      <c r="AB21">
        <v>0</v>
      </c>
      <c r="AC21">
        <v>0</v>
      </c>
      <c r="AD21">
        <v>1</v>
      </c>
      <c r="AE21">
        <v>1</v>
      </c>
      <c r="AF21">
        <v>2</v>
      </c>
      <c r="AG21">
        <v>1</v>
      </c>
      <c r="AH21">
        <v>0</v>
      </c>
      <c r="AI21">
        <v>9</v>
      </c>
      <c r="AJ21">
        <v>1</v>
      </c>
      <c r="AK21">
        <v>1</v>
      </c>
    </row>
    <row r="22" spans="1:41" x14ac:dyDescent="0.3">
      <c r="A22">
        <v>17</v>
      </c>
      <c r="C22">
        <f t="shared" si="4"/>
        <v>2</v>
      </c>
      <c r="D22">
        <f t="shared" si="0"/>
        <v>2</v>
      </c>
      <c r="E22">
        <f t="shared" si="5"/>
        <v>0</v>
      </c>
      <c r="F22">
        <f>SUM($E$6:E22)</f>
        <v>0</v>
      </c>
      <c r="H22">
        <f t="shared" si="6"/>
        <v>2</v>
      </c>
      <c r="I22">
        <f t="shared" si="1"/>
        <v>8</v>
      </c>
      <c r="J22">
        <f t="shared" si="7"/>
        <v>-6</v>
      </c>
      <c r="K22">
        <f>SUM($J$6:J22)</f>
        <v>7</v>
      </c>
      <c r="M22">
        <f t="shared" si="8"/>
        <v>0</v>
      </c>
      <c r="N22">
        <f t="shared" si="2"/>
        <v>0</v>
      </c>
      <c r="O22">
        <f t="shared" si="9"/>
        <v>0</v>
      </c>
      <c r="P22">
        <f>SUM($O$6:O22)</f>
        <v>0</v>
      </c>
      <c r="R22">
        <f t="shared" si="10"/>
        <v>0</v>
      </c>
      <c r="S22">
        <f t="shared" si="3"/>
        <v>0</v>
      </c>
      <c r="T22">
        <f t="shared" si="11"/>
        <v>0</v>
      </c>
      <c r="U22">
        <f>SUM($T$6:T22)</f>
        <v>0</v>
      </c>
      <c r="W22">
        <f t="shared" si="12"/>
        <v>4</v>
      </c>
      <c r="X22">
        <f t="shared" si="13"/>
        <v>10</v>
      </c>
      <c r="Z22">
        <f t="shared" si="14"/>
        <v>0</v>
      </c>
      <c r="AB22">
        <v>2</v>
      </c>
      <c r="AC22">
        <v>2</v>
      </c>
      <c r="AD22">
        <v>0</v>
      </c>
      <c r="AE22">
        <v>0</v>
      </c>
      <c r="AF22">
        <v>2</v>
      </c>
      <c r="AG22">
        <v>1</v>
      </c>
      <c r="AH22">
        <v>2</v>
      </c>
      <c r="AI22">
        <v>8</v>
      </c>
      <c r="AJ22">
        <v>0</v>
      </c>
      <c r="AK22">
        <v>0</v>
      </c>
    </row>
    <row r="23" spans="1:41" x14ac:dyDescent="0.3">
      <c r="A23">
        <v>18</v>
      </c>
      <c r="C23">
        <f t="shared" si="4"/>
        <v>0</v>
      </c>
      <c r="D23">
        <f t="shared" si="0"/>
        <v>0</v>
      </c>
      <c r="E23">
        <f t="shared" si="5"/>
        <v>0</v>
      </c>
      <c r="F23">
        <f>SUM($E$6:E23)</f>
        <v>0</v>
      </c>
      <c r="H23">
        <f t="shared" si="6"/>
        <v>1</v>
      </c>
      <c r="I23">
        <f t="shared" si="1"/>
        <v>8</v>
      </c>
      <c r="J23">
        <f t="shared" si="7"/>
        <v>-7</v>
      </c>
      <c r="K23">
        <f>SUM($J$6:J23)</f>
        <v>0</v>
      </c>
      <c r="M23">
        <f t="shared" si="8"/>
        <v>0</v>
      </c>
      <c r="N23">
        <f t="shared" si="2"/>
        <v>0</v>
      </c>
      <c r="O23">
        <f t="shared" si="9"/>
        <v>0</v>
      </c>
      <c r="P23">
        <f>SUM($O$6:O23)</f>
        <v>0</v>
      </c>
      <c r="R23">
        <f t="shared" si="10"/>
        <v>1</v>
      </c>
      <c r="S23">
        <f t="shared" si="3"/>
        <v>1</v>
      </c>
      <c r="T23">
        <f t="shared" si="11"/>
        <v>0</v>
      </c>
      <c r="U23">
        <f>SUM($T$6:T23)</f>
        <v>0</v>
      </c>
      <c r="W23">
        <f t="shared" si="12"/>
        <v>2</v>
      </c>
      <c r="X23">
        <f t="shared" si="13"/>
        <v>9</v>
      </c>
      <c r="Z23">
        <f t="shared" si="14"/>
        <v>8</v>
      </c>
      <c r="AB23">
        <v>0</v>
      </c>
      <c r="AC23">
        <v>1</v>
      </c>
      <c r="AD23">
        <v>0</v>
      </c>
      <c r="AE23">
        <v>1</v>
      </c>
      <c r="AF23">
        <v>2</v>
      </c>
      <c r="AG23">
        <v>1</v>
      </c>
      <c r="AH23">
        <v>0</v>
      </c>
      <c r="AI23">
        <v>8</v>
      </c>
      <c r="AJ23">
        <v>0</v>
      </c>
      <c r="AK23">
        <v>1</v>
      </c>
    </row>
    <row r="24" spans="1:41" x14ac:dyDescent="0.3">
      <c r="A24">
        <v>19</v>
      </c>
      <c r="C24">
        <f t="shared" si="4"/>
        <v>1</v>
      </c>
      <c r="D24">
        <f t="shared" si="0"/>
        <v>1</v>
      </c>
      <c r="E24">
        <f t="shared" si="5"/>
        <v>0</v>
      </c>
      <c r="F24">
        <f>SUM($E$6:E24)</f>
        <v>0</v>
      </c>
      <c r="H24">
        <f t="shared" si="6"/>
        <v>2</v>
      </c>
      <c r="I24">
        <f t="shared" si="1"/>
        <v>2</v>
      </c>
      <c r="J24">
        <f t="shared" si="7"/>
        <v>0</v>
      </c>
      <c r="K24">
        <f>SUM($J$6:J24)</f>
        <v>0</v>
      </c>
      <c r="M24">
        <f t="shared" si="8"/>
        <v>0</v>
      </c>
      <c r="N24">
        <f t="shared" si="2"/>
        <v>0</v>
      </c>
      <c r="O24">
        <f t="shared" si="9"/>
        <v>0</v>
      </c>
      <c r="P24">
        <f>SUM($O$6:O24)</f>
        <v>0</v>
      </c>
      <c r="R24">
        <f t="shared" si="10"/>
        <v>1</v>
      </c>
      <c r="S24">
        <f t="shared" si="3"/>
        <v>1</v>
      </c>
      <c r="T24">
        <f t="shared" si="11"/>
        <v>0</v>
      </c>
      <c r="U24">
        <f>SUM($T$6:T24)</f>
        <v>0</v>
      </c>
      <c r="W24">
        <f t="shared" si="12"/>
        <v>4</v>
      </c>
      <c r="X24">
        <f t="shared" si="13"/>
        <v>4</v>
      </c>
      <c r="Z24">
        <f t="shared" si="14"/>
        <v>33</v>
      </c>
      <c r="AB24">
        <v>1</v>
      </c>
      <c r="AC24">
        <v>2</v>
      </c>
      <c r="AD24">
        <v>0</v>
      </c>
      <c r="AE24">
        <v>1</v>
      </c>
      <c r="AF24">
        <v>2</v>
      </c>
      <c r="AG24">
        <v>1</v>
      </c>
      <c r="AH24">
        <v>1</v>
      </c>
      <c r="AI24">
        <v>2</v>
      </c>
      <c r="AJ24">
        <v>0</v>
      </c>
      <c r="AK24">
        <v>1</v>
      </c>
    </row>
    <row r="25" spans="1:41" x14ac:dyDescent="0.3">
      <c r="A25">
        <v>20</v>
      </c>
      <c r="C25">
        <f t="shared" si="4"/>
        <v>0</v>
      </c>
      <c r="D25">
        <f t="shared" si="0"/>
        <v>0</v>
      </c>
      <c r="E25">
        <f t="shared" si="5"/>
        <v>0</v>
      </c>
      <c r="F25">
        <f>SUM($E$6:E25)</f>
        <v>0</v>
      </c>
      <c r="H25">
        <f t="shared" si="6"/>
        <v>0</v>
      </c>
      <c r="I25">
        <f t="shared" si="1"/>
        <v>0</v>
      </c>
      <c r="J25">
        <f t="shared" si="7"/>
        <v>0</v>
      </c>
      <c r="K25">
        <f>SUM($J$6:J25)</f>
        <v>0</v>
      </c>
      <c r="M25">
        <f t="shared" si="8"/>
        <v>1</v>
      </c>
      <c r="N25">
        <f t="shared" si="2"/>
        <v>1</v>
      </c>
      <c r="O25">
        <f t="shared" si="9"/>
        <v>0</v>
      </c>
      <c r="P25">
        <f>SUM($O$6:O25)</f>
        <v>0</v>
      </c>
      <c r="R25">
        <f t="shared" si="10"/>
        <v>0</v>
      </c>
      <c r="S25">
        <f t="shared" si="3"/>
        <v>0</v>
      </c>
      <c r="T25">
        <f t="shared" si="11"/>
        <v>0</v>
      </c>
      <c r="U25">
        <f>SUM($T$6:T25)</f>
        <v>0</v>
      </c>
      <c r="W25">
        <f t="shared" si="12"/>
        <v>1</v>
      </c>
      <c r="X25">
        <f t="shared" si="13"/>
        <v>1</v>
      </c>
      <c r="Z25">
        <f t="shared" si="14"/>
        <v>48</v>
      </c>
      <c r="AB25">
        <v>0</v>
      </c>
      <c r="AC25">
        <v>0</v>
      </c>
      <c r="AD25">
        <v>1</v>
      </c>
      <c r="AE25">
        <v>0</v>
      </c>
      <c r="AF25">
        <v>2</v>
      </c>
      <c r="AG25">
        <v>1</v>
      </c>
      <c r="AH25">
        <v>0</v>
      </c>
      <c r="AI25">
        <v>0</v>
      </c>
      <c r="AJ25">
        <v>1</v>
      </c>
      <c r="AK25">
        <v>0</v>
      </c>
    </row>
    <row r="29" spans="1:41" x14ac:dyDescent="0.3">
      <c r="F29" t="s">
        <v>21</v>
      </c>
      <c r="K29" t="s">
        <v>21</v>
      </c>
      <c r="P29" t="s">
        <v>21</v>
      </c>
      <c r="U29" t="s">
        <v>21</v>
      </c>
      <c r="AB29" t="s">
        <v>23</v>
      </c>
      <c r="AC29" t="s">
        <v>32</v>
      </c>
      <c r="AD29" t="s">
        <v>31</v>
      </c>
      <c r="AE29" t="s">
        <v>33</v>
      </c>
      <c r="AF29" t="s">
        <v>26</v>
      </c>
      <c r="AG29" t="s">
        <v>27</v>
      </c>
      <c r="AH29" t="s">
        <v>28</v>
      </c>
      <c r="AI29" t="s">
        <v>24</v>
      </c>
      <c r="AJ29" t="s">
        <v>25</v>
      </c>
      <c r="AK29" t="s">
        <v>29</v>
      </c>
      <c r="AL29" t="s">
        <v>30</v>
      </c>
      <c r="AN29" t="s">
        <v>41</v>
      </c>
    </row>
    <row r="30" spans="1:41" x14ac:dyDescent="0.3">
      <c r="F30">
        <f>(F6+D6)/D6</f>
        <v>1.4285714285714286</v>
      </c>
      <c r="K30" t="e">
        <f>(K6+I6)/I6</f>
        <v>#DIV/0!</v>
      </c>
      <c r="P30">
        <f>(P6+N6)/N6</f>
        <v>1</v>
      </c>
      <c r="U30" t="e">
        <f>(U6+S6)/S6</f>
        <v>#DIV/0!</v>
      </c>
      <c r="Z30">
        <v>1</v>
      </c>
      <c r="AB30">
        <v>1</v>
      </c>
      <c r="AC30">
        <f>W6</f>
        <v>48</v>
      </c>
    </row>
    <row r="31" spans="1:41" x14ac:dyDescent="0.3">
      <c r="F31">
        <f t="shared" ref="F31:F49" si="15">(F7+D7)/D7</f>
        <v>1.6666666666666667</v>
      </c>
      <c r="K31" t="e">
        <f t="shared" ref="K31:K49" si="16">(K7+I7)/I7</f>
        <v>#DIV/0!</v>
      </c>
      <c r="P31">
        <f t="shared" ref="P31:P49" si="17">(P7+N7)/N7</f>
        <v>1</v>
      </c>
      <c r="U31">
        <f t="shared" ref="U31:U49" si="18">(U7+S7)/S7</f>
        <v>22.5</v>
      </c>
      <c r="Z31">
        <v>2</v>
      </c>
      <c r="AB31">
        <v>2</v>
      </c>
      <c r="AC31">
        <f t="shared" ref="AC31" si="19">W7</f>
        <v>44</v>
      </c>
      <c r="AD31">
        <f>AI31*EXP(AJ31*AB31)</f>
        <v>43.999999999999993</v>
      </c>
      <c r="AF31">
        <f>COUNT($AC$30:$AC31)*VARP($AC$30:$AC31)</f>
        <v>8</v>
      </c>
      <c r="AG31" s="4">
        <f t="shared" ref="AG31:AG48" si="20">AF31-AH31</f>
        <v>8</v>
      </c>
      <c r="AH31">
        <f>SUMXMY2($AC$30:$AC31,$AD$30:$AD31)</f>
        <v>5.0487097934144756E-29</v>
      </c>
      <c r="AI31">
        <f>AN31</f>
        <v>52.363636363636395</v>
      </c>
      <c r="AJ31">
        <f>AO31</f>
        <v>-8.7011376989630129E-2</v>
      </c>
      <c r="AK31">
        <f>AG31/AF31</f>
        <v>1</v>
      </c>
      <c r="AL31">
        <f>SQRT(AH31/COUNT($AC$30:AC31))</f>
        <v>5.0242958677880805E-15</v>
      </c>
      <c r="AN31">
        <f>EXP(INDEX(LINEST(LN(AC$30:AC31),AB$30:AB31),1,2))</f>
        <v>52.363636363636395</v>
      </c>
      <c r="AO31">
        <f>INDEX(LINEST(LN(AC$30:AC31),AB$30:AB31),1)</f>
        <v>-8.7011376989630129E-2</v>
      </c>
    </row>
    <row r="32" spans="1:41" x14ac:dyDescent="0.3">
      <c r="F32">
        <f t="shared" si="15"/>
        <v>1.25</v>
      </c>
      <c r="K32" t="e">
        <f t="shared" si="16"/>
        <v>#DIV/0!</v>
      </c>
      <c r="P32">
        <f t="shared" si="17"/>
        <v>1</v>
      </c>
      <c r="U32">
        <f t="shared" si="18"/>
        <v>58</v>
      </c>
      <c r="Z32">
        <v>3</v>
      </c>
      <c r="AB32">
        <v>3</v>
      </c>
      <c r="AC32">
        <f>IF(W8=0, AVERAGE(AC31,AC33), W8)</f>
        <v>30</v>
      </c>
      <c r="AD32">
        <f>AI32*EXP(AJ32*AB32)</f>
        <v>31.517014017027467</v>
      </c>
      <c r="AF32">
        <f>COUNT($AC$30:$AC32)*VARP($AC$30:$AC32)</f>
        <v>178.66666666666669</v>
      </c>
      <c r="AG32" s="4">
        <f t="shared" si="20"/>
        <v>176.36533513880886</v>
      </c>
      <c r="AH32">
        <f>SUMXMY2($AC$30:$AC32,$AD$30:$AD32)</f>
        <v>2.3013315278578124</v>
      </c>
      <c r="AI32">
        <f t="shared" ref="AI32:AI49" si="21">AN32</f>
        <v>63.78595157840617</v>
      </c>
      <c r="AJ32">
        <f t="shared" ref="AJ32:AJ49" si="22">AO32</f>
        <v>-0.23500181462286782</v>
      </c>
      <c r="AK32">
        <f t="shared" ref="AK32:AK49" si="23">AG32/AF32</f>
        <v>0.98711941309034801</v>
      </c>
      <c r="AL32">
        <f>SQRT(AH32/COUNT($AC$30:AC32))</f>
        <v>0.87584845109524367</v>
      </c>
      <c r="AN32">
        <f>EXP(INDEX(LINEST(LN(AC$30:AC32),AB$30:AB32),1,2))</f>
        <v>63.78595157840617</v>
      </c>
      <c r="AO32">
        <f>INDEX(LINEST(LN(AC$30:AC32),AB$30:AB32),1)</f>
        <v>-0.23500181462286782</v>
      </c>
    </row>
    <row r="33" spans="6:41" x14ac:dyDescent="0.3">
      <c r="F33">
        <f t="shared" si="15"/>
        <v>1.5</v>
      </c>
      <c r="K33" t="e">
        <f t="shared" si="16"/>
        <v>#DIV/0!</v>
      </c>
      <c r="P33">
        <f t="shared" si="17"/>
        <v>1</v>
      </c>
      <c r="U33">
        <f t="shared" si="18"/>
        <v>32.5</v>
      </c>
      <c r="Z33">
        <v>4</v>
      </c>
      <c r="AB33">
        <v>4</v>
      </c>
      <c r="AC33">
        <f t="shared" ref="AC33:AC49" si="24">IF(W9=0, AVERAGE(AC32,AC34), W9)</f>
        <v>27</v>
      </c>
      <c r="AD33">
        <f>AI33*EXP(AJ33*AB33)</f>
        <v>26.357253706369502</v>
      </c>
      <c r="AF33">
        <f>COUNT($AC$30:$AC33)*VARP($AC$30:$AC33)</f>
        <v>318.75</v>
      </c>
      <c r="AG33" s="4">
        <f t="shared" si="20"/>
        <v>316.03554567416643</v>
      </c>
      <c r="AH33">
        <f>SUMXMY2($AC$30:$AC33,$AD$30:$AD33)</f>
        <v>2.7144543258335552</v>
      </c>
      <c r="AI33">
        <f t="shared" si="21"/>
        <v>61.275334896405631</v>
      </c>
      <c r="AJ33">
        <f t="shared" si="22"/>
        <v>-0.21090846869667912</v>
      </c>
      <c r="AK33">
        <f t="shared" si="23"/>
        <v>0.99148406486012997</v>
      </c>
      <c r="AL33">
        <f>SQRT(AH33/COUNT($AC$30:AC33))</f>
        <v>0.82378005648254726</v>
      </c>
      <c r="AN33">
        <f>EXP(INDEX(LINEST(LN(AC$30:AC33),AB$30:AB33),1,2))</f>
        <v>61.275334896405631</v>
      </c>
      <c r="AO33">
        <f>INDEX(LINEST(LN(AC$30:AC33),AB$30:AB33),1)</f>
        <v>-0.21090846869667912</v>
      </c>
    </row>
    <row r="34" spans="6:41" x14ac:dyDescent="0.3">
      <c r="F34">
        <f t="shared" si="15"/>
        <v>1</v>
      </c>
      <c r="K34" t="e">
        <f t="shared" si="16"/>
        <v>#DIV/0!</v>
      </c>
      <c r="P34">
        <f t="shared" si="17"/>
        <v>1</v>
      </c>
      <c r="U34">
        <f t="shared" si="18"/>
        <v>7</v>
      </c>
      <c r="Z34">
        <v>5</v>
      </c>
      <c r="AB34">
        <v>5</v>
      </c>
      <c r="AC34">
        <f t="shared" si="24"/>
        <v>22</v>
      </c>
      <c r="AD34">
        <f t="shared" ref="AD34:AD46" si="25">AI34*EXP(AJ34*AB34)</f>
        <v>21.735774391131383</v>
      </c>
      <c r="AF34">
        <f>COUNT($AC$30:$AC34)*VARP($AC$30:$AC34)</f>
        <v>504.79999999999995</v>
      </c>
      <c r="AG34" s="4">
        <f t="shared" si="20"/>
        <v>502.01573050178439</v>
      </c>
      <c r="AH34">
        <f>SUMXMY2($AC$30:$AC34,$AD$30:$AD34)</f>
        <v>2.7842694982155467</v>
      </c>
      <c r="AI34">
        <f t="shared" si="21"/>
        <v>60.53940250224057</v>
      </c>
      <c r="AJ34">
        <f t="shared" si="22"/>
        <v>-0.20486698830130817</v>
      </c>
      <c r="AK34">
        <f t="shared" si="23"/>
        <v>0.99448441066122117</v>
      </c>
      <c r="AL34">
        <f>SQRT(AH34/COUNT($AC$30:AC34))</f>
        <v>0.74622643992497972</v>
      </c>
      <c r="AN34">
        <f>EXP(INDEX(LINEST(LN(AC$30:AC34),AB$30:AB34),1,2))</f>
        <v>60.53940250224057</v>
      </c>
      <c r="AO34">
        <f>INDEX(LINEST(LN(AC$30:AC34),AB$30:AB34),1)</f>
        <v>-0.20486698830130817</v>
      </c>
    </row>
    <row r="35" spans="6:41" x14ac:dyDescent="0.3">
      <c r="F35">
        <f t="shared" si="15"/>
        <v>1</v>
      </c>
      <c r="K35" t="e">
        <f t="shared" si="16"/>
        <v>#DIV/0!</v>
      </c>
      <c r="P35">
        <f t="shared" si="17"/>
        <v>1</v>
      </c>
      <c r="U35">
        <f t="shared" si="18"/>
        <v>5.4666666666666668</v>
      </c>
      <c r="Z35">
        <v>6</v>
      </c>
      <c r="AB35">
        <v>6</v>
      </c>
      <c r="AC35">
        <f t="shared" si="24"/>
        <v>24</v>
      </c>
      <c r="AD35">
        <f t="shared" si="25"/>
        <v>20.765861031410171</v>
      </c>
      <c r="AF35">
        <f>COUNT($AC$30:$AC35)*VARP($AC$30:$AC35)</f>
        <v>591.5</v>
      </c>
      <c r="AG35" s="4">
        <f t="shared" si="20"/>
        <v>578.25607563363315</v>
      </c>
      <c r="AH35">
        <f>SUMXMY2($AC$30:$AC35,$AD$30:$AD35)</f>
        <v>13.243924366366826</v>
      </c>
      <c r="AI35">
        <f t="shared" si="21"/>
        <v>54.706032791906665</v>
      </c>
      <c r="AJ35">
        <f t="shared" si="22"/>
        <v>-0.16144394171821108</v>
      </c>
      <c r="AK35">
        <f t="shared" si="23"/>
        <v>0.97760959532313296</v>
      </c>
      <c r="AL35">
        <f>SQRT(AH35/COUNT($AC$30:AC35))</f>
        <v>1.485705464662429</v>
      </c>
      <c r="AN35">
        <f>EXP(INDEX(LINEST(LN(AC$30:AC35),AB$30:AB35),1,2))</f>
        <v>54.706032791906665</v>
      </c>
      <c r="AO35">
        <f>INDEX(LINEST(LN(AC$30:AC35),AB$30:AB35),1)</f>
        <v>-0.16144394171821108</v>
      </c>
    </row>
    <row r="36" spans="6:41" x14ac:dyDescent="0.3">
      <c r="F36">
        <f t="shared" si="15"/>
        <v>1</v>
      </c>
      <c r="K36" t="e">
        <f t="shared" si="16"/>
        <v>#DIV/0!</v>
      </c>
      <c r="P36">
        <f t="shared" si="17"/>
        <v>1</v>
      </c>
      <c r="U36">
        <f t="shared" si="18"/>
        <v>3.9047619047619047</v>
      </c>
      <c r="Z36">
        <v>7</v>
      </c>
      <c r="AB36">
        <v>7</v>
      </c>
      <c r="AC36">
        <f t="shared" si="24"/>
        <v>19</v>
      </c>
      <c r="AD36">
        <f t="shared" si="25"/>
        <v>18.275489888599111</v>
      </c>
      <c r="AF36">
        <f>COUNT($AC$30:$AC36)*VARP($AC$30:$AC36)</f>
        <v>747.71428571428567</v>
      </c>
      <c r="AG36" s="4">
        <f t="shared" si="20"/>
        <v>733.94544644639666</v>
      </c>
      <c r="AH36">
        <f>SUMXMY2($AC$30:$AC36,$AD$30:$AD36)</f>
        <v>13.768839267888955</v>
      </c>
      <c r="AI36">
        <f t="shared" si="21"/>
        <v>53.583381289571797</v>
      </c>
      <c r="AJ36">
        <f t="shared" si="22"/>
        <v>-0.15366830823817218</v>
      </c>
      <c r="AK36">
        <f t="shared" si="23"/>
        <v>0.98158542703950646</v>
      </c>
      <c r="AL36">
        <f>SQRT(AH36/COUNT($AC$30:AC36))</f>
        <v>1.4024895857972888</v>
      </c>
      <c r="AN36">
        <f>EXP(INDEX(LINEST(LN(AC$30:AC36),AB$30:AB36),1,2))</f>
        <v>53.583381289571797</v>
      </c>
      <c r="AO36">
        <f>INDEX(LINEST(LN(AC$30:AC36),AB$30:AB36),1)</f>
        <v>-0.15366830823817218</v>
      </c>
    </row>
    <row r="37" spans="6:41" x14ac:dyDescent="0.3">
      <c r="F37">
        <f t="shared" si="15"/>
        <v>1</v>
      </c>
      <c r="K37" t="e">
        <f t="shared" si="16"/>
        <v>#DIV/0!</v>
      </c>
      <c r="P37">
        <f t="shared" si="17"/>
        <v>1</v>
      </c>
      <c r="U37">
        <f t="shared" si="18"/>
        <v>3.6842105263157894</v>
      </c>
      <c r="Z37">
        <v>8</v>
      </c>
      <c r="AB37">
        <v>8</v>
      </c>
      <c r="AC37">
        <f t="shared" si="24"/>
        <v>14</v>
      </c>
      <c r="AD37">
        <f t="shared" si="25"/>
        <v>14.952490098375426</v>
      </c>
      <c r="AF37">
        <f>COUNT($AC$30:$AC37)*VARP($AC$30:$AC37)</f>
        <v>988</v>
      </c>
      <c r="AG37" s="4">
        <f t="shared" si="20"/>
        <v>973.32392334460781</v>
      </c>
      <c r="AH37">
        <f>SUMXMY2($AC$30:$AC37,$AD$30:$AD37)</f>
        <v>14.676076655392183</v>
      </c>
      <c r="AI37">
        <f t="shared" si="21"/>
        <v>55.116424823639626</v>
      </c>
      <c r="AJ37">
        <f t="shared" si="22"/>
        <v>-0.16307123939757348</v>
      </c>
      <c r="AK37">
        <f t="shared" si="23"/>
        <v>0.98514567140142495</v>
      </c>
      <c r="AL37">
        <f>SQRT(AH37/COUNT($AC$30:AC37))</f>
        <v>1.3544406897033265</v>
      </c>
      <c r="AN37">
        <f>EXP(INDEX(LINEST(LN(AC$30:AC37),AB$30:AB37),1,2))</f>
        <v>55.116424823639626</v>
      </c>
      <c r="AO37">
        <f>INDEX(LINEST(LN(AC$30:AC37),AB$30:AB37),1)</f>
        <v>-0.16307123939757348</v>
      </c>
    </row>
    <row r="38" spans="6:41" x14ac:dyDescent="0.3">
      <c r="F38">
        <f t="shared" si="15"/>
        <v>1</v>
      </c>
      <c r="K38" t="e">
        <f t="shared" si="16"/>
        <v>#DIV/0!</v>
      </c>
      <c r="P38">
        <f t="shared" si="17"/>
        <v>1</v>
      </c>
      <c r="U38">
        <f t="shared" si="18"/>
        <v>2.7619047619047619</v>
      </c>
      <c r="Z38">
        <v>9</v>
      </c>
      <c r="AB38">
        <v>9</v>
      </c>
      <c r="AC38">
        <f t="shared" si="24"/>
        <v>13</v>
      </c>
      <c r="AD38">
        <f t="shared" si="25"/>
        <v>12.814142254820204</v>
      </c>
      <c r="AF38">
        <f>COUNT($AC$30:$AC38)*VARP($AC$30:$AC38)</f>
        <v>1201.5555555555557</v>
      </c>
      <c r="AG38" s="4">
        <f t="shared" si="20"/>
        <v>1186.8449357987201</v>
      </c>
      <c r="AH38">
        <f>SUMXMY2($AC$30:$AC38,$AD$30:$AD38)</f>
        <v>14.7106197568355</v>
      </c>
      <c r="AI38">
        <f t="shared" si="21"/>
        <v>54.833697879418509</v>
      </c>
      <c r="AJ38">
        <f t="shared" si="22"/>
        <v>-0.16152838945570394</v>
      </c>
      <c r="AK38">
        <f t="shared" si="23"/>
        <v>0.98775702073131866</v>
      </c>
      <c r="AL38">
        <f>SQRT(AH38/COUNT($AC$30:AC38))</f>
        <v>1.2784808587988541</v>
      </c>
      <c r="AN38">
        <f>EXP(INDEX(LINEST(LN(AC$30:AC38),AB$30:AB38),1,2))</f>
        <v>54.833697879418509</v>
      </c>
      <c r="AO38">
        <f>INDEX(LINEST(LN(AC$30:AC38),AB$30:AB38),1)</f>
        <v>-0.16152838945570394</v>
      </c>
    </row>
    <row r="39" spans="6:41" x14ac:dyDescent="0.3">
      <c r="F39">
        <f t="shared" si="15"/>
        <v>1</v>
      </c>
      <c r="K39" t="e">
        <f t="shared" si="16"/>
        <v>#DIV/0!</v>
      </c>
      <c r="P39">
        <f t="shared" si="17"/>
        <v>1</v>
      </c>
      <c r="U39">
        <f t="shared" si="18"/>
        <v>2.3333333333333335</v>
      </c>
      <c r="Z39">
        <v>10</v>
      </c>
      <c r="AB39">
        <v>10</v>
      </c>
      <c r="AC39">
        <f t="shared" si="24"/>
        <v>11</v>
      </c>
      <c r="AD39">
        <f t="shared" si="25"/>
        <v>10.936290699191366</v>
      </c>
      <c r="AF39">
        <f>COUNT($AC$30:$AC39)*VARP($AC$30:$AC39)</f>
        <v>1425.6</v>
      </c>
      <c r="AG39" s="4">
        <f t="shared" si="20"/>
        <v>1410.8853213681548</v>
      </c>
      <c r="AH39">
        <f>SUMXMY2($AC$30:$AC39,$AD$30:$AD39)</f>
        <v>14.714678631845025</v>
      </c>
      <c r="AI39">
        <f t="shared" si="21"/>
        <v>54.736462741204413</v>
      </c>
      <c r="AJ39">
        <f t="shared" si="22"/>
        <v>-0.16104434013297747</v>
      </c>
      <c r="AK39">
        <f t="shared" si="23"/>
        <v>0.98967825572962609</v>
      </c>
      <c r="AL39">
        <f>SQRT(AH39/COUNT($AC$30:AC39))</f>
        <v>1.2130407508342425</v>
      </c>
      <c r="AN39">
        <f>EXP(INDEX(LINEST(LN(AC$30:AC39),AB$30:AB39),1,2))</f>
        <v>54.736462741204413</v>
      </c>
      <c r="AO39">
        <f>INDEX(LINEST(LN(AC$30:AC39),AB$30:AB39),1)</f>
        <v>-0.16104434013297747</v>
      </c>
    </row>
    <row r="40" spans="6:41" x14ac:dyDescent="0.3">
      <c r="F40">
        <f t="shared" si="15"/>
        <v>1</v>
      </c>
      <c r="K40" t="e">
        <f t="shared" si="16"/>
        <v>#DIV/0!</v>
      </c>
      <c r="P40">
        <f t="shared" si="17"/>
        <v>1</v>
      </c>
      <c r="U40">
        <f t="shared" si="18"/>
        <v>1.3809523809523809</v>
      </c>
      <c r="Z40">
        <v>11</v>
      </c>
      <c r="AB40">
        <v>11</v>
      </c>
      <c r="AC40">
        <f t="shared" si="24"/>
        <v>8</v>
      </c>
      <c r="AD40">
        <f t="shared" si="25"/>
        <v>8.8711613947175625</v>
      </c>
      <c r="AF40">
        <f>COUNT($AC$30:$AC40)*VARP($AC$30:$AC40)</f>
        <v>1694.5454545454547</v>
      </c>
      <c r="AG40" s="4">
        <f t="shared" si="20"/>
        <v>1679.0718537379635</v>
      </c>
      <c r="AH40">
        <f>SUMXMY2($AC$30:$AC40,$AD$30:$AD40)</f>
        <v>15.473600807491273</v>
      </c>
      <c r="AI40">
        <f t="shared" si="21"/>
        <v>56.266192364216678</v>
      </c>
      <c r="AJ40">
        <f t="shared" si="22"/>
        <v>-0.16793528554719739</v>
      </c>
      <c r="AK40">
        <f t="shared" si="23"/>
        <v>0.99086858321446336</v>
      </c>
      <c r="AL40">
        <f>SQRT(AH40/COUNT($AC$30:AC40))</f>
        <v>1.1860400425361728</v>
      </c>
      <c r="AN40">
        <f>EXP(INDEX(LINEST(LN(AC$30:AC40),AB$30:AB40),1,2))</f>
        <v>56.266192364216678</v>
      </c>
      <c r="AO40">
        <f>INDEX(LINEST(LN(AC$30:AC40),AB$30:AB40),1)</f>
        <v>-0.16793528554719739</v>
      </c>
    </row>
    <row r="41" spans="6:41" x14ac:dyDescent="0.3">
      <c r="F41">
        <f t="shared" si="15"/>
        <v>1</v>
      </c>
      <c r="K41">
        <f t="shared" si="16"/>
        <v>14</v>
      </c>
      <c r="P41">
        <f t="shared" si="17"/>
        <v>1</v>
      </c>
      <c r="U41">
        <f t="shared" si="18"/>
        <v>1</v>
      </c>
      <c r="Z41">
        <v>12</v>
      </c>
      <c r="AB41">
        <v>12</v>
      </c>
      <c r="AC41">
        <f t="shared" si="24"/>
        <v>8</v>
      </c>
      <c r="AD41">
        <f t="shared" si="25"/>
        <v>7.6439205670200385</v>
      </c>
      <c r="AF41">
        <f>COUNT($AC$30:$AC41)*VARP($AC$30:$AC41)</f>
        <v>1918.6666666666665</v>
      </c>
      <c r="AG41" s="4">
        <f t="shared" si="20"/>
        <v>1903.0662732965839</v>
      </c>
      <c r="AH41">
        <f>SUMXMY2($AC$30:$AC41,$AD$30:$AD41)</f>
        <v>15.600393370082603</v>
      </c>
      <c r="AI41">
        <f t="shared" si="21"/>
        <v>55.663910647128105</v>
      </c>
      <c r="AJ41">
        <f t="shared" si="22"/>
        <v>-0.16545178153435514</v>
      </c>
      <c r="AK41">
        <f t="shared" si="23"/>
        <v>0.99186914869523146</v>
      </c>
      <c r="AL41">
        <f>SQRT(AH41/COUNT($AC$30:AC41))</f>
        <v>1.1401898003579127</v>
      </c>
      <c r="AN41">
        <f>EXP(INDEX(LINEST(LN(AC$30:AC41),AB$30:AB41),1,2))</f>
        <v>55.663910647128105</v>
      </c>
      <c r="AO41">
        <f>INDEX(LINEST(LN(AC$30:AC41),AB$30:AB41),1)</f>
        <v>-0.16545178153435514</v>
      </c>
    </row>
    <row r="42" spans="6:41" x14ac:dyDescent="0.3">
      <c r="F42">
        <f t="shared" si="15"/>
        <v>1</v>
      </c>
      <c r="K42">
        <f t="shared" si="16"/>
        <v>6.666666666666667</v>
      </c>
      <c r="P42">
        <f t="shared" si="17"/>
        <v>1</v>
      </c>
      <c r="U42">
        <f t="shared" si="18"/>
        <v>1</v>
      </c>
      <c r="Z42">
        <v>13</v>
      </c>
      <c r="AB42">
        <v>13</v>
      </c>
      <c r="AC42">
        <f t="shared" si="24"/>
        <v>8</v>
      </c>
      <c r="AD42">
        <f t="shared" si="25"/>
        <v>6.8648976509339494</v>
      </c>
      <c r="AF42">
        <f>COUNT($AC$30:$AC42)*VARP($AC$30:$AC42)</f>
        <v>2108.3076923076924</v>
      </c>
      <c r="AG42" s="4">
        <f t="shared" si="20"/>
        <v>2091.4188415947547</v>
      </c>
      <c r="AH42">
        <f>SUMXMY2($AC$30:$AC42,$AD$30:$AD42)</f>
        <v>16.88885071293787</v>
      </c>
      <c r="AI42">
        <f t="shared" si="21"/>
        <v>53.886131165637686</v>
      </c>
      <c r="AJ42">
        <f t="shared" si="22"/>
        <v>-0.15849630828919709</v>
      </c>
      <c r="AK42">
        <f t="shared" si="23"/>
        <v>0.99198938049955521</v>
      </c>
      <c r="AL42">
        <f>SQRT(AH42/COUNT($AC$30:AC42))</f>
        <v>1.1397992641398231</v>
      </c>
      <c r="AN42">
        <f>EXP(INDEX(LINEST(LN(AC$30:AC42),AB$30:AB42),1,2))</f>
        <v>53.886131165637686</v>
      </c>
      <c r="AO42">
        <f>INDEX(LINEST(LN(AC$30:AC42),AB$30:AB42),1)</f>
        <v>-0.15849630828919709</v>
      </c>
    </row>
    <row r="43" spans="6:41" x14ac:dyDescent="0.3">
      <c r="F43">
        <f t="shared" si="15"/>
        <v>1</v>
      </c>
      <c r="K43">
        <f t="shared" si="16"/>
        <v>5.833333333333333</v>
      </c>
      <c r="P43">
        <f t="shared" si="17"/>
        <v>1</v>
      </c>
      <c r="U43">
        <f t="shared" si="18"/>
        <v>1</v>
      </c>
      <c r="Z43">
        <v>14</v>
      </c>
      <c r="AB43">
        <v>14</v>
      </c>
      <c r="AC43">
        <f t="shared" si="24"/>
        <v>8</v>
      </c>
      <c r="AD43">
        <f t="shared" si="25"/>
        <v>6.3472974338616446</v>
      </c>
      <c r="AF43">
        <f>COUNT($AC$30:$AC43)*VARP($AC$30:$AC43)</f>
        <v>2270.8571428571431</v>
      </c>
      <c r="AG43" s="4">
        <f t="shared" si="20"/>
        <v>2251.2368663720849</v>
      </c>
      <c r="AH43">
        <f>SUMXMY2($AC$30:$AC43,$AD$30:$AD43)</f>
        <v>19.620276485058177</v>
      </c>
      <c r="AI43">
        <f t="shared" si="21"/>
        <v>51.540646537050527</v>
      </c>
      <c r="AJ43">
        <f t="shared" si="22"/>
        <v>-0.14959583058397774</v>
      </c>
      <c r="AK43">
        <f t="shared" si="23"/>
        <v>0.99135996883521593</v>
      </c>
      <c r="AL43">
        <f>SQRT(AH43/COUNT($AC$30:AC43))</f>
        <v>1.1838278254718033</v>
      </c>
      <c r="AN43">
        <f>EXP(INDEX(LINEST(LN(AC$30:AC43),AB$30:AB43),1,2))</f>
        <v>51.540646537050527</v>
      </c>
      <c r="AO43">
        <f>INDEX(LINEST(LN(AC$30:AC43),AB$30:AB43),1)</f>
        <v>-0.14959583058397774</v>
      </c>
    </row>
    <row r="44" spans="6:41" x14ac:dyDescent="0.3">
      <c r="F44">
        <f t="shared" si="15"/>
        <v>1</v>
      </c>
      <c r="K44">
        <f t="shared" si="16"/>
        <v>3.75</v>
      </c>
      <c r="P44" t="e">
        <f t="shared" si="17"/>
        <v>#DIV/0!</v>
      </c>
      <c r="U44">
        <f t="shared" si="18"/>
        <v>1</v>
      </c>
      <c r="Z44">
        <v>15</v>
      </c>
      <c r="AB44">
        <v>15</v>
      </c>
      <c r="AC44">
        <f t="shared" si="24"/>
        <v>3</v>
      </c>
      <c r="AD44">
        <f t="shared" si="25"/>
        <v>4.7278783429581095</v>
      </c>
      <c r="AF44">
        <f>COUNT($AC$30:$AC44)*VARP($AC$30:$AC44)</f>
        <v>2549.7333333333331</v>
      </c>
      <c r="AG44" s="4">
        <f t="shared" si="20"/>
        <v>2527.1274932802112</v>
      </c>
      <c r="AH44">
        <f>SUMXMY2($AC$30:$AC44,$AD$30:$AD44)</f>
        <v>22.605840053121838</v>
      </c>
      <c r="AI44">
        <f t="shared" si="21"/>
        <v>55.831983329530047</v>
      </c>
      <c r="AJ44">
        <f t="shared" si="22"/>
        <v>-0.16459135563627886</v>
      </c>
      <c r="AK44">
        <f t="shared" si="23"/>
        <v>0.99113403752557572</v>
      </c>
      <c r="AL44">
        <f>SQRT(AH44/COUNT($AC$30:AC44))</f>
        <v>1.2276220931302335</v>
      </c>
      <c r="AN44">
        <f>EXP(INDEX(LINEST(LN(AC$30:AC44),AB$30:AB44),1,2))</f>
        <v>55.831983329530047</v>
      </c>
      <c r="AO44">
        <f>INDEX(LINEST(LN(AC$30:AC44),AB$30:AB44),1)</f>
        <v>-0.16459135563627886</v>
      </c>
    </row>
    <row r="45" spans="6:41" x14ac:dyDescent="0.3">
      <c r="F45" t="e">
        <f t="shared" si="15"/>
        <v>#DIV/0!</v>
      </c>
      <c r="K45">
        <f t="shared" si="16"/>
        <v>2.4444444444444446</v>
      </c>
      <c r="P45">
        <f t="shared" si="17"/>
        <v>1</v>
      </c>
      <c r="U45">
        <f t="shared" si="18"/>
        <v>1</v>
      </c>
      <c r="Z45">
        <v>16</v>
      </c>
      <c r="AB45">
        <v>16</v>
      </c>
      <c r="AC45">
        <f t="shared" si="24"/>
        <v>2</v>
      </c>
      <c r="AD45">
        <f t="shared" si="25"/>
        <v>3.4222487077527481</v>
      </c>
      <c r="AF45">
        <f>COUNT($AC$30:$AC45)*VARP($AC$30:$AC45)</f>
        <v>2824.9375</v>
      </c>
      <c r="AG45" s="4">
        <f t="shared" si="20"/>
        <v>2800.3088685601738</v>
      </c>
      <c r="AH45">
        <f>SUMXMY2($AC$30:$AC45,$AD$30:$AD45)</f>
        <v>24.628631439826201</v>
      </c>
      <c r="AI45">
        <f t="shared" si="21"/>
        <v>60.904930661471361</v>
      </c>
      <c r="AJ45">
        <f t="shared" si="22"/>
        <v>-0.17993851767433089</v>
      </c>
      <c r="AK45">
        <f t="shared" si="23"/>
        <v>0.99128170749270517</v>
      </c>
      <c r="AL45">
        <f>SQRT(AH45/COUNT($AC$30:AC45))</f>
        <v>1.2406810488554814</v>
      </c>
      <c r="AN45">
        <f>EXP(INDEX(LINEST(LN(AC$30:AC45),AB$30:AB45),1,2))</f>
        <v>60.904930661471361</v>
      </c>
      <c r="AO45">
        <f>INDEX(LINEST(LN(AC$30:AC45),AB$30:AB45),1)</f>
        <v>-0.17993851767433089</v>
      </c>
    </row>
    <row r="46" spans="6:41" x14ac:dyDescent="0.3">
      <c r="F46">
        <f t="shared" si="15"/>
        <v>1</v>
      </c>
      <c r="K46">
        <f t="shared" si="16"/>
        <v>1.875</v>
      </c>
      <c r="P46" t="e">
        <f t="shared" si="17"/>
        <v>#DIV/0!</v>
      </c>
      <c r="U46" t="e">
        <f t="shared" si="18"/>
        <v>#DIV/0!</v>
      </c>
      <c r="Z46">
        <v>17</v>
      </c>
      <c r="AB46">
        <v>17</v>
      </c>
      <c r="AC46">
        <f t="shared" si="24"/>
        <v>4</v>
      </c>
      <c r="AD46">
        <f t="shared" si="25"/>
        <v>3.0734967152983579</v>
      </c>
      <c r="AF46">
        <f>COUNT($AC$30:$AC46)*VARP($AC$30:$AC46)</f>
        <v>3011.0588235294117</v>
      </c>
      <c r="AG46" s="4">
        <f t="shared" si="20"/>
        <v>2985.5717837530224</v>
      </c>
      <c r="AH46">
        <f>SUMXMY2($AC$30:$AC46,$AD$30:$AD46)</f>
        <v>25.487039776389132</v>
      </c>
      <c r="AI46">
        <f t="shared" si="21"/>
        <v>58.544805485116143</v>
      </c>
      <c r="AJ46">
        <f t="shared" si="22"/>
        <v>-0.17335155636251776</v>
      </c>
      <c r="AK46">
        <f t="shared" si="23"/>
        <v>0.99153552246232279</v>
      </c>
      <c r="AL46">
        <f>SQRT(AH46/COUNT($AC$30:AC46))</f>
        <v>1.2244335971808529</v>
      </c>
      <c r="AN46">
        <f>EXP(INDEX(LINEST(LN(AC$30:AC46),AB$30:AB46),1,2))</f>
        <v>58.544805485116143</v>
      </c>
      <c r="AO46">
        <f>INDEX(LINEST(LN(AC$30:AC46),AB$30:AB46),1)</f>
        <v>-0.17335155636251776</v>
      </c>
    </row>
    <row r="47" spans="6:41" x14ac:dyDescent="0.3">
      <c r="F47" t="e">
        <f t="shared" si="15"/>
        <v>#DIV/0!</v>
      </c>
      <c r="K47">
        <f t="shared" si="16"/>
        <v>1</v>
      </c>
      <c r="P47" t="e">
        <f t="shared" si="17"/>
        <v>#DIV/0!</v>
      </c>
      <c r="U47">
        <f t="shared" si="18"/>
        <v>1</v>
      </c>
      <c r="Z47">
        <v>18</v>
      </c>
      <c r="AB47">
        <v>18</v>
      </c>
      <c r="AC47">
        <f t="shared" si="24"/>
        <v>2</v>
      </c>
      <c r="AD47">
        <f>AI47*EXP(AJ47*AB47)</f>
        <v>2.452239707473566</v>
      </c>
      <c r="AF47">
        <f>COUNT($AC$30:$AC47)*VARP($AC$30:$AC47)</f>
        <v>3230.2777777777778</v>
      </c>
      <c r="AG47" s="4">
        <f t="shared" si="20"/>
        <v>3204.586217248373</v>
      </c>
      <c r="AH47">
        <f>SUMXMY2($AC$30:$AC47,$AD$30:$AD47)</f>
        <v>25.69156052940491</v>
      </c>
      <c r="AI47">
        <f t="shared" si="21"/>
        <v>60.236112781945153</v>
      </c>
      <c r="AJ47">
        <f t="shared" si="22"/>
        <v>-0.17784834884891987</v>
      </c>
      <c r="AK47">
        <f t="shared" si="23"/>
        <v>0.99204664047589153</v>
      </c>
      <c r="AL47">
        <f>SQRT(AH47/COUNT($AC$30:AC47))</f>
        <v>1.1947003466561281</v>
      </c>
      <c r="AN47">
        <f>EXP(INDEX(LINEST(LN(AC$30:AC47),AB$30:AB47),1,2))</f>
        <v>60.236112781945153</v>
      </c>
      <c r="AO47">
        <f>INDEX(LINEST(LN(AC$30:AC47),AB$30:AB47),1)</f>
        <v>-0.17784834884891987</v>
      </c>
    </row>
    <row r="48" spans="6:41" x14ac:dyDescent="0.3">
      <c r="F48">
        <f t="shared" si="15"/>
        <v>1</v>
      </c>
      <c r="K48">
        <f t="shared" si="16"/>
        <v>1</v>
      </c>
      <c r="P48" t="e">
        <f t="shared" si="17"/>
        <v>#DIV/0!</v>
      </c>
      <c r="U48">
        <f t="shared" si="18"/>
        <v>1</v>
      </c>
      <c r="Z48">
        <v>19</v>
      </c>
      <c r="AB48">
        <v>19</v>
      </c>
      <c r="AC48">
        <f t="shared" si="24"/>
        <v>4</v>
      </c>
      <c r="AD48">
        <f>AI48*EXP(AJ48*AB48)</f>
        <v>2.3374727951593055</v>
      </c>
      <c r="AF48">
        <f>COUNT($AC$30:$AC48)*VARP($AC$30:$AC48)</f>
        <v>3375.6842105263158</v>
      </c>
      <c r="AG48" s="4">
        <f t="shared" si="20"/>
        <v>3347.2286532900757</v>
      </c>
      <c r="AH48">
        <f>SUMXMY2($AC$30:$AC48,$AD$30:$AD48)</f>
        <v>28.455557236240324</v>
      </c>
      <c r="AI48">
        <f t="shared" si="21"/>
        <v>56.151123551172944</v>
      </c>
      <c r="AJ48">
        <f t="shared" si="22"/>
        <v>-0.16731454458536227</v>
      </c>
      <c r="AK48">
        <f t="shared" si="23"/>
        <v>0.99157043269998191</v>
      </c>
      <c r="AL48">
        <f>SQRT(AH48/COUNT($AC$30:AC48))</f>
        <v>1.2237895681736068</v>
      </c>
      <c r="AN48">
        <f>EXP(INDEX(LINEST(LN(AC$30:AC48),AB$30:AB48),1,2))</f>
        <v>56.151123551172944</v>
      </c>
      <c r="AO48">
        <f>INDEX(LINEST(LN(AC$30:AC48),AB$30:AB48),1)</f>
        <v>-0.16731454458536227</v>
      </c>
    </row>
    <row r="49" spans="1:44" x14ac:dyDescent="0.3">
      <c r="F49" t="e">
        <f t="shared" si="15"/>
        <v>#DIV/0!</v>
      </c>
      <c r="K49" t="e">
        <f t="shared" si="16"/>
        <v>#DIV/0!</v>
      </c>
      <c r="P49">
        <f t="shared" si="17"/>
        <v>1</v>
      </c>
      <c r="U49" t="e">
        <f t="shared" si="18"/>
        <v>#DIV/0!</v>
      </c>
      <c r="Z49">
        <v>20</v>
      </c>
      <c r="AB49">
        <v>20</v>
      </c>
      <c r="AC49">
        <f t="shared" si="24"/>
        <v>1</v>
      </c>
      <c r="AD49">
        <f>T94</f>
        <v>2.9633066231723779</v>
      </c>
      <c r="AF49">
        <f>COUNT($AC$30:$AC49)*VARP($AC$30:$AC49)</f>
        <v>3582</v>
      </c>
      <c r="AG49" s="4">
        <f>AF49-AH49</f>
        <v>3549.6898698671671</v>
      </c>
      <c r="AH49">
        <f>SUMXMY2($AC$30:$AC49,$AD$30:$AD49)</f>
        <v>32.310130132832853</v>
      </c>
      <c r="AI49">
        <f t="shared" si="21"/>
        <v>60.112768349162927</v>
      </c>
      <c r="AJ49">
        <f t="shared" si="22"/>
        <v>-0.17705391314383503</v>
      </c>
      <c r="AK49">
        <f t="shared" si="23"/>
        <v>0.99097986316783004</v>
      </c>
      <c r="AL49">
        <f>SQRT(AH49/COUNT(AC30:AC49))</f>
        <v>1.2710257694640352</v>
      </c>
      <c r="AN49">
        <f>EXP(INDEX(LINEST(LN(AC$30:AC49),AB$30:AB49),1,2))</f>
        <v>60.112768349162927</v>
      </c>
      <c r="AO49">
        <f>INDEX(LINEST(LN(AC$30:AC49),AB$30:AB49),1)</f>
        <v>-0.17705391314383503</v>
      </c>
    </row>
    <row r="52" spans="1:44" x14ac:dyDescent="0.3">
      <c r="A52" s="1" t="s">
        <v>19</v>
      </c>
      <c r="I52" t="s">
        <v>22</v>
      </c>
    </row>
    <row r="53" spans="1:44" x14ac:dyDescent="0.3">
      <c r="A53" s="3" t="s">
        <v>14</v>
      </c>
      <c r="B53" t="s">
        <v>38</v>
      </c>
      <c r="C53" t="s">
        <v>36</v>
      </c>
      <c r="E53" s="3" t="s">
        <v>15</v>
      </c>
      <c r="F53" t="s">
        <v>38</v>
      </c>
      <c r="G53" t="s">
        <v>36</v>
      </c>
      <c r="I53" t="s">
        <v>37</v>
      </c>
      <c r="J53" t="s">
        <v>38</v>
      </c>
      <c r="K53" t="s">
        <v>36</v>
      </c>
      <c r="M53" t="s">
        <v>35</v>
      </c>
      <c r="N53" t="s">
        <v>38</v>
      </c>
      <c r="O53" t="s">
        <v>36</v>
      </c>
      <c r="Z53" t="s">
        <v>34</v>
      </c>
    </row>
    <row r="54" spans="1:44" x14ac:dyDescent="0.3">
      <c r="A54">
        <v>1</v>
      </c>
      <c r="B54">
        <f>F6*$C$2+K6*$H$2+P6*$M$2+U6*$R$2</f>
        <v>52</v>
      </c>
      <c r="E54">
        <v>1</v>
      </c>
      <c r="F54">
        <f>(W6+1)/(X6+1)</f>
        <v>3.2666666666666666</v>
      </c>
      <c r="I54">
        <v>1</v>
      </c>
      <c r="J54">
        <f>(F6+D6+P6+N6+0.1)/(N6+D6+0.1)</f>
        <v>1.2127659574468086</v>
      </c>
      <c r="M54">
        <v>1</v>
      </c>
      <c r="N54" t="s">
        <v>42</v>
      </c>
      <c r="Z54">
        <v>2</v>
      </c>
      <c r="AA54">
        <v>3</v>
      </c>
      <c r="AB54">
        <v>4</v>
      </c>
      <c r="AC54">
        <v>5</v>
      </c>
      <c r="AD54">
        <v>6</v>
      </c>
      <c r="AE54">
        <v>7</v>
      </c>
      <c r="AF54">
        <v>8</v>
      </c>
      <c r="AG54">
        <v>9</v>
      </c>
      <c r="AH54">
        <v>10</v>
      </c>
      <c r="AI54">
        <v>11</v>
      </c>
      <c r="AJ54">
        <v>12</v>
      </c>
      <c r="AK54">
        <v>13</v>
      </c>
      <c r="AL54">
        <v>14</v>
      </c>
      <c r="AM54">
        <v>15</v>
      </c>
      <c r="AN54">
        <v>16</v>
      </c>
      <c r="AO54">
        <v>17</v>
      </c>
      <c r="AP54">
        <v>18</v>
      </c>
      <c r="AQ54">
        <v>19</v>
      </c>
      <c r="AR54">
        <v>20</v>
      </c>
    </row>
    <row r="55" spans="1:44" x14ac:dyDescent="0.3">
      <c r="A55">
        <v>2</v>
      </c>
      <c r="B55">
        <f t="shared" ref="B55:B73" si="26">F7*$C$2+K7*$H$2+P7*$M$2+U7*$R$2</f>
        <v>86</v>
      </c>
      <c r="C55">
        <f t="shared" ref="C55:C72" si="27">AVERAGE(B54:B56)</f>
        <v>76.333333333333329</v>
      </c>
      <c r="E55">
        <v>2</v>
      </c>
      <c r="F55">
        <f t="shared" ref="F55:F73" si="28">(W7+1)/(X7+1)</f>
        <v>2.6470588235294117</v>
      </c>
      <c r="G55">
        <f t="shared" ref="G55:G72" si="29">AVERAGE(F54:F56)</f>
        <v>2.7093370681605982</v>
      </c>
      <c r="I55">
        <v>2</v>
      </c>
      <c r="J55">
        <f t="shared" ref="J55:J73" si="30">(F7+D7+P7+N7+1)/(N7+D7+1)</f>
        <v>1.2666666666666666</v>
      </c>
      <c r="K55">
        <f t="shared" ref="K55:K72" si="31">AVERAGEIF(J54:J56,"&gt;0")</f>
        <v>1.2110929259865431</v>
      </c>
      <c r="M55">
        <v>2</v>
      </c>
      <c r="O55" t="e">
        <f>AVERAGE(N54:N56)</f>
        <v>#DIV/0!</v>
      </c>
      <c r="Y55">
        <v>2</v>
      </c>
      <c r="Z55">
        <f>$AI$31*EXP($AJ$31*$Y55)</f>
        <v>43.999999999999993</v>
      </c>
    </row>
    <row r="56" spans="1:44" x14ac:dyDescent="0.3">
      <c r="A56">
        <v>3</v>
      </c>
      <c r="B56">
        <f t="shared" si="26"/>
        <v>91</v>
      </c>
      <c r="C56">
        <f t="shared" si="27"/>
        <v>95</v>
      </c>
      <c r="E56">
        <v>3</v>
      </c>
      <c r="F56">
        <f t="shared" si="28"/>
        <v>2.2142857142857144</v>
      </c>
      <c r="G56">
        <f t="shared" si="29"/>
        <v>2.1694677871148458</v>
      </c>
      <c r="I56">
        <v>3</v>
      </c>
      <c r="J56">
        <f t="shared" si="30"/>
        <v>1.1538461538461537</v>
      </c>
      <c r="K56">
        <f t="shared" si="31"/>
        <v>1.2068376068376068</v>
      </c>
      <c r="M56">
        <v>3</v>
      </c>
      <c r="O56" t="e">
        <f t="shared" ref="O56:O72" si="32">AVERAGE(N55:N57)</f>
        <v>#DIV/0!</v>
      </c>
      <c r="Y56">
        <v>3</v>
      </c>
      <c r="Z56">
        <f t="shared" ref="Z56:Z87" si="33">$AI$31*EXP($AJ$31*Y56)</f>
        <v>40.333333333333314</v>
      </c>
      <c r="AA56">
        <f>$AI$32*EXP($AJ$32*$Y56)</f>
        <v>31.517014017027467</v>
      </c>
    </row>
    <row r="57" spans="1:44" x14ac:dyDescent="0.3">
      <c r="A57">
        <v>4</v>
      </c>
      <c r="B57">
        <f t="shared" si="26"/>
        <v>108</v>
      </c>
      <c r="C57">
        <f t="shared" si="27"/>
        <v>98</v>
      </c>
      <c r="E57">
        <v>4</v>
      </c>
      <c r="F57">
        <f t="shared" si="28"/>
        <v>1.6470588235294117</v>
      </c>
      <c r="G57">
        <f t="shared" si="29"/>
        <v>1.713040771864301</v>
      </c>
      <c r="I57">
        <v>4</v>
      </c>
      <c r="J57">
        <f t="shared" si="30"/>
        <v>1.2</v>
      </c>
      <c r="K57">
        <f t="shared" si="31"/>
        <v>1.1179487179487178</v>
      </c>
      <c r="M57">
        <v>4</v>
      </c>
      <c r="O57" t="e">
        <f t="shared" si="32"/>
        <v>#DIV/0!</v>
      </c>
      <c r="Y57">
        <v>4</v>
      </c>
      <c r="Z57">
        <f t="shared" si="33"/>
        <v>36.972222222222193</v>
      </c>
      <c r="AA57">
        <f t="shared" ref="AA57:AA120" si="34">$AI$32*EXP($AJ$32*$Y57)</f>
        <v>24.916387335314905</v>
      </c>
      <c r="AB57">
        <f>$AI$33*EXP($AJ$33*$Y57)</f>
        <v>26.357253706369502</v>
      </c>
    </row>
    <row r="58" spans="1:44" x14ac:dyDescent="0.3">
      <c r="A58">
        <v>5</v>
      </c>
      <c r="B58">
        <f t="shared" si="26"/>
        <v>95</v>
      </c>
      <c r="C58">
        <f t="shared" si="27"/>
        <v>100.66666666666667</v>
      </c>
      <c r="E58">
        <v>5</v>
      </c>
      <c r="F58">
        <f t="shared" si="28"/>
        <v>1.2777777777777777</v>
      </c>
      <c r="G58">
        <f t="shared" si="29"/>
        <v>1.3717709305944599</v>
      </c>
      <c r="I58">
        <v>5</v>
      </c>
      <c r="J58">
        <f t="shared" si="30"/>
        <v>1</v>
      </c>
      <c r="K58">
        <f t="shared" si="31"/>
        <v>1.0666666666666667</v>
      </c>
      <c r="M58">
        <v>5</v>
      </c>
      <c r="O58" t="e">
        <f t="shared" si="32"/>
        <v>#DIV/0!</v>
      </c>
      <c r="Y58">
        <v>5</v>
      </c>
      <c r="Z58">
        <f t="shared" si="33"/>
        <v>33.89120370370366</v>
      </c>
      <c r="AA58">
        <f t="shared" si="34"/>
        <v>19.698133760642168</v>
      </c>
      <c r="AB58">
        <f t="shared" ref="AB58:AB121" si="35">$AI$33*EXP($AJ$33*$Y58)</f>
        <v>21.345374206136558</v>
      </c>
      <c r="AC58">
        <f>$AI$34*EXP($AJ$34*$Y58)</f>
        <v>21.735774391131383</v>
      </c>
    </row>
    <row r="59" spans="1:44" x14ac:dyDescent="0.3">
      <c r="A59">
        <v>6</v>
      </c>
      <c r="B59">
        <f t="shared" si="26"/>
        <v>99</v>
      </c>
      <c r="C59">
        <f t="shared" si="27"/>
        <v>96.333333333333329</v>
      </c>
      <c r="E59">
        <v>6</v>
      </c>
      <c r="F59">
        <f t="shared" si="28"/>
        <v>1.1904761904761905</v>
      </c>
      <c r="G59">
        <f t="shared" si="29"/>
        <v>1.1005291005291007</v>
      </c>
      <c r="I59">
        <v>6</v>
      </c>
      <c r="J59">
        <f t="shared" si="30"/>
        <v>1</v>
      </c>
      <c r="K59">
        <f t="shared" si="31"/>
        <v>1</v>
      </c>
      <c r="M59">
        <v>6</v>
      </c>
      <c r="O59" t="e">
        <f t="shared" si="32"/>
        <v>#DIV/0!</v>
      </c>
      <c r="Y59">
        <v>6</v>
      </c>
      <c r="Z59">
        <f t="shared" si="33"/>
        <v>31.066936728395014</v>
      </c>
      <c r="AA59">
        <f t="shared" si="34"/>
        <v>15.572742084571816</v>
      </c>
      <c r="AB59">
        <f t="shared" si="35"/>
        <v>17.286512664629146</v>
      </c>
      <c r="AC59">
        <f t="shared" ref="AC59:AC122" si="36">$AI$34*EXP($AJ$34*$Y59)</f>
        <v>17.709345671358676</v>
      </c>
      <c r="AD59">
        <f>$AI$35*EXP($AJ$35*$Y59)</f>
        <v>20.765861031410171</v>
      </c>
    </row>
    <row r="60" spans="1:44" x14ac:dyDescent="0.3">
      <c r="A60">
        <v>7</v>
      </c>
      <c r="B60">
        <f t="shared" si="26"/>
        <v>95</v>
      </c>
      <c r="C60">
        <f t="shared" si="27"/>
        <v>93.333333333333329</v>
      </c>
      <c r="E60">
        <v>7</v>
      </c>
      <c r="F60">
        <f t="shared" si="28"/>
        <v>0.83333333333333337</v>
      </c>
      <c r="G60">
        <f t="shared" si="29"/>
        <v>0.88293650793650791</v>
      </c>
      <c r="I60">
        <v>7</v>
      </c>
      <c r="J60">
        <f t="shared" si="30"/>
        <v>1</v>
      </c>
      <c r="K60">
        <f t="shared" si="31"/>
        <v>1</v>
      </c>
      <c r="M60">
        <v>7</v>
      </c>
      <c r="O60" t="e">
        <f t="shared" si="32"/>
        <v>#DIV/0!</v>
      </c>
      <c r="Y60">
        <v>7</v>
      </c>
      <c r="Z60">
        <f t="shared" si="33"/>
        <v>28.478025334362087</v>
      </c>
      <c r="AA60">
        <f t="shared" si="34"/>
        <v>12.311333600401353</v>
      </c>
      <c r="AB60">
        <f t="shared" si="35"/>
        <v>13.999450991984739</v>
      </c>
      <c r="AC60">
        <f t="shared" si="36"/>
        <v>14.428789996809767</v>
      </c>
      <c r="AD60">
        <f t="shared" ref="AD60:AD123" si="37">$AI$35*EXP($AJ$35*$Y60)</f>
        <v>17.669966668894972</v>
      </c>
      <c r="AE60">
        <f>$AI$36*EXP($AJ$36*$Y60)</f>
        <v>18.275489888599111</v>
      </c>
    </row>
    <row r="61" spans="1:44" x14ac:dyDescent="0.3">
      <c r="A61">
        <v>8</v>
      </c>
      <c r="B61">
        <f t="shared" si="26"/>
        <v>86</v>
      </c>
      <c r="C61">
        <f t="shared" si="27"/>
        <v>85.666666666666671</v>
      </c>
      <c r="E61">
        <v>8</v>
      </c>
      <c r="F61">
        <f t="shared" si="28"/>
        <v>0.625</v>
      </c>
      <c r="G61">
        <f t="shared" si="29"/>
        <v>0.68055555555555569</v>
      </c>
      <c r="I61">
        <v>8</v>
      </c>
      <c r="J61">
        <f t="shared" si="30"/>
        <v>1</v>
      </c>
      <c r="K61">
        <f t="shared" si="31"/>
        <v>1</v>
      </c>
      <c r="M61">
        <v>8</v>
      </c>
      <c r="O61" t="e">
        <f t="shared" si="32"/>
        <v>#DIV/0!</v>
      </c>
      <c r="Y61">
        <v>8</v>
      </c>
      <c r="Z61">
        <f t="shared" si="33"/>
        <v>26.104856556498568</v>
      </c>
      <c r="AA61">
        <f t="shared" si="34"/>
        <v>9.7329638028573839</v>
      </c>
      <c r="AB61">
        <f t="shared" si="35"/>
        <v>11.337430046142105</v>
      </c>
      <c r="AC61">
        <f t="shared" si="36"/>
        <v>11.755938623341866</v>
      </c>
      <c r="AD61">
        <f t="shared" si="37"/>
        <v>15.035626098411598</v>
      </c>
      <c r="AE61">
        <f t="shared" ref="AE61:AE123" si="38">$AI$36*EXP($AJ$36*$Y61)</f>
        <v>15.672263650484467</v>
      </c>
      <c r="AF61">
        <f>$AI$37*EXP($AJ$37*$Y61)</f>
        <v>14.952490098375426</v>
      </c>
    </row>
    <row r="62" spans="1:44" x14ac:dyDescent="0.3">
      <c r="A62">
        <v>9</v>
      </c>
      <c r="B62">
        <f t="shared" si="26"/>
        <v>76</v>
      </c>
      <c r="C62">
        <f t="shared" si="27"/>
        <v>75.666666666666671</v>
      </c>
      <c r="E62">
        <v>9</v>
      </c>
      <c r="F62">
        <f t="shared" si="28"/>
        <v>0.58333333333333337</v>
      </c>
      <c r="G62">
        <f t="shared" si="29"/>
        <v>0.57669082125603877</v>
      </c>
      <c r="I62">
        <v>9</v>
      </c>
      <c r="J62">
        <f t="shared" si="30"/>
        <v>1</v>
      </c>
      <c r="K62">
        <f t="shared" si="31"/>
        <v>1</v>
      </c>
      <c r="M62">
        <v>9</v>
      </c>
      <c r="O62" t="e">
        <f t="shared" si="32"/>
        <v>#DIV/0!</v>
      </c>
      <c r="Y62">
        <v>9</v>
      </c>
      <c r="Z62">
        <f t="shared" si="33"/>
        <v>23.929451843457013</v>
      </c>
      <c r="AA62">
        <f t="shared" si="34"/>
        <v>7.6945835002508458</v>
      </c>
      <c r="AB62">
        <f t="shared" si="35"/>
        <v>9.1815972015444487</v>
      </c>
      <c r="AC62">
        <f t="shared" si="36"/>
        <v>9.5782177816946401</v>
      </c>
      <c r="AD62">
        <f t="shared" si="37"/>
        <v>12.794028217902337</v>
      </c>
      <c r="AE62">
        <f t="shared" si="38"/>
        <v>13.439850281853348</v>
      </c>
      <c r="AF62">
        <f t="shared" ref="AF62:AF123" si="39">$AI$37*EXP($AJ$37*$Y62)</f>
        <v>12.702598874710782</v>
      </c>
      <c r="AG62">
        <f t="shared" ref="AG62:AG123" si="40">$AI$38*EXP($AJ$38*$Y62)</f>
        <v>12.814142254820204</v>
      </c>
    </row>
    <row r="63" spans="1:44" x14ac:dyDescent="0.3">
      <c r="A63">
        <v>10</v>
      </c>
      <c r="B63">
        <f t="shared" si="26"/>
        <v>65</v>
      </c>
      <c r="C63">
        <f t="shared" si="27"/>
        <v>63.666666666666664</v>
      </c>
      <c r="E63">
        <v>10</v>
      </c>
      <c r="F63">
        <f t="shared" si="28"/>
        <v>0.52173913043478259</v>
      </c>
      <c r="G63">
        <f t="shared" si="29"/>
        <v>0.49335748792270534</v>
      </c>
      <c r="I63">
        <v>10</v>
      </c>
      <c r="J63">
        <f t="shared" si="30"/>
        <v>1</v>
      </c>
      <c r="K63">
        <f t="shared" si="31"/>
        <v>1</v>
      </c>
      <c r="M63">
        <v>10</v>
      </c>
      <c r="O63" t="e">
        <f t="shared" si="32"/>
        <v>#DIV/0!</v>
      </c>
      <c r="Y63">
        <v>10</v>
      </c>
      <c r="Z63">
        <f t="shared" si="33"/>
        <v>21.935330856502251</v>
      </c>
      <c r="AA63">
        <f t="shared" si="34"/>
        <v>6.083102376785865</v>
      </c>
      <c r="AB63">
        <f t="shared" si="35"/>
        <v>7.4356998745138903</v>
      </c>
      <c r="AC63">
        <f t="shared" si="36"/>
        <v>7.8039073538044539</v>
      </c>
      <c r="AD63">
        <f t="shared" si="37"/>
        <v>10.886620681381109</v>
      </c>
      <c r="AE63">
        <f t="shared" si="38"/>
        <v>11.525429869414543</v>
      </c>
      <c r="AF63">
        <f t="shared" si="39"/>
        <v>10.791247284580029</v>
      </c>
      <c r="AG63">
        <f t="shared" si="40"/>
        <v>10.902815244678646</v>
      </c>
      <c r="AH63">
        <f t="shared" ref="AH63:AH123" si="41">$AI$39*EXP($AJ$39*$Y63)</f>
        <v>10.936290699191366</v>
      </c>
    </row>
    <row r="64" spans="1:44" x14ac:dyDescent="0.3">
      <c r="A64">
        <v>11</v>
      </c>
      <c r="B64">
        <f t="shared" si="26"/>
        <v>50</v>
      </c>
      <c r="C64">
        <f t="shared" si="27"/>
        <v>51.333333333333336</v>
      </c>
      <c r="E64">
        <v>11</v>
      </c>
      <c r="F64">
        <f t="shared" si="28"/>
        <v>0.375</v>
      </c>
      <c r="G64">
        <f t="shared" si="29"/>
        <v>0.44891304347826089</v>
      </c>
      <c r="I64">
        <v>11</v>
      </c>
      <c r="J64">
        <f t="shared" si="30"/>
        <v>1</v>
      </c>
      <c r="K64">
        <f t="shared" si="31"/>
        <v>1</v>
      </c>
      <c r="M64">
        <v>11</v>
      </c>
      <c r="O64" t="e">
        <f t="shared" si="32"/>
        <v>#DIV/0!</v>
      </c>
      <c r="Y64">
        <v>11</v>
      </c>
      <c r="Z64">
        <f t="shared" si="33"/>
        <v>20.107386618460392</v>
      </c>
      <c r="AA64">
        <f t="shared" si="34"/>
        <v>4.8091146876567779</v>
      </c>
      <c r="AB64">
        <f t="shared" si="35"/>
        <v>6.0217880843809555</v>
      </c>
      <c r="AC64">
        <f t="shared" si="36"/>
        <v>6.3582778523948136</v>
      </c>
      <c r="AD64">
        <f t="shared" si="37"/>
        <v>9.263580464394721</v>
      </c>
      <c r="AE64">
        <f t="shared" si="38"/>
        <v>9.8837063575142015</v>
      </c>
      <c r="AF64">
        <f t="shared" si="39"/>
        <v>9.167495494862445</v>
      </c>
      <c r="AG64">
        <f t="shared" si="40"/>
        <v>9.2765772297308509</v>
      </c>
      <c r="AH64">
        <f t="shared" si="41"/>
        <v>9.3095647630532792</v>
      </c>
      <c r="AI64">
        <f t="shared" ref="AI64:AI123" si="42">$AI$40*EXP($AJ$40*$Y64)</f>
        <v>8.8711613947175625</v>
      </c>
    </row>
    <row r="65" spans="1:44" x14ac:dyDescent="0.3">
      <c r="A65">
        <v>12</v>
      </c>
      <c r="B65">
        <f t="shared" si="26"/>
        <v>39</v>
      </c>
      <c r="C65">
        <f t="shared" si="27"/>
        <v>41</v>
      </c>
      <c r="E65">
        <v>12</v>
      </c>
      <c r="F65">
        <f t="shared" si="28"/>
        <v>0.45</v>
      </c>
      <c r="G65">
        <f t="shared" si="29"/>
        <v>0.48928571428571432</v>
      </c>
      <c r="I65">
        <v>12</v>
      </c>
      <c r="J65">
        <f t="shared" si="30"/>
        <v>1</v>
      </c>
      <c r="K65">
        <f t="shared" si="31"/>
        <v>1</v>
      </c>
      <c r="M65">
        <v>12</v>
      </c>
      <c r="O65" t="e">
        <f t="shared" si="32"/>
        <v>#DIV/0!</v>
      </c>
      <c r="Y65">
        <v>12</v>
      </c>
      <c r="Z65">
        <f t="shared" si="33"/>
        <v>18.431771066922021</v>
      </c>
      <c r="AA65">
        <f t="shared" si="34"/>
        <v>3.8019389854911654</v>
      </c>
      <c r="AB65">
        <f t="shared" si="35"/>
        <v>4.8767341803938908</v>
      </c>
      <c r="AC65">
        <f t="shared" si="36"/>
        <v>5.1804430031509341</v>
      </c>
      <c r="AD65">
        <f t="shared" si="37"/>
        <v>7.8825124464085654</v>
      </c>
      <c r="AE65">
        <f t="shared" si="38"/>
        <v>8.4758358229053066</v>
      </c>
      <c r="AF65">
        <f t="shared" si="39"/>
        <v>7.788068555190562</v>
      </c>
      <c r="AG65">
        <f t="shared" si="40"/>
        <v>7.8929050128737961</v>
      </c>
      <c r="AH65">
        <f t="shared" si="41"/>
        <v>7.9248072734470654</v>
      </c>
      <c r="AI65">
        <f t="shared" si="42"/>
        <v>7.4997556300087442</v>
      </c>
      <c r="AJ65">
        <f t="shared" ref="AJ65:AJ123" si="43">$AI$41*EXP($AJ$41*$Y65)</f>
        <v>7.6439205670200385</v>
      </c>
    </row>
    <row r="66" spans="1:44" x14ac:dyDescent="0.3">
      <c r="A66">
        <v>13</v>
      </c>
      <c r="B66">
        <f t="shared" si="26"/>
        <v>34</v>
      </c>
      <c r="C66">
        <f t="shared" si="27"/>
        <v>34</v>
      </c>
      <c r="E66">
        <v>13</v>
      </c>
      <c r="F66">
        <f t="shared" si="28"/>
        <v>0.6428571428571429</v>
      </c>
      <c r="G66">
        <f t="shared" si="29"/>
        <v>0.57857142857142863</v>
      </c>
      <c r="I66">
        <v>13</v>
      </c>
      <c r="J66">
        <f t="shared" si="30"/>
        <v>1</v>
      </c>
      <c r="K66">
        <f t="shared" si="31"/>
        <v>1</v>
      </c>
      <c r="M66">
        <v>13</v>
      </c>
      <c r="O66" t="e">
        <f t="shared" si="32"/>
        <v>#DIV/0!</v>
      </c>
      <c r="Y66">
        <v>13</v>
      </c>
      <c r="Z66">
        <f t="shared" si="33"/>
        <v>16.895790144678511</v>
      </c>
      <c r="AA66">
        <f t="shared" si="34"/>
        <v>3.005696679785486</v>
      </c>
      <c r="AB66">
        <f t="shared" si="35"/>
        <v>3.9494143488556426</v>
      </c>
      <c r="AC66">
        <f t="shared" si="36"/>
        <v>4.2207953681652128</v>
      </c>
      <c r="AD66">
        <f t="shared" si="37"/>
        <v>6.7073420160382629</v>
      </c>
      <c r="AE66">
        <f t="shared" si="38"/>
        <v>7.2685074098976914</v>
      </c>
      <c r="AF66">
        <f t="shared" si="39"/>
        <v>6.616203068148665</v>
      </c>
      <c r="AG66">
        <f t="shared" si="40"/>
        <v>6.7156180560419703</v>
      </c>
      <c r="AH66">
        <f t="shared" si="41"/>
        <v>6.7460264705953907</v>
      </c>
      <c r="AI66">
        <f t="shared" si="42"/>
        <v>6.3403574805143785</v>
      </c>
      <c r="AJ66">
        <f t="shared" si="43"/>
        <v>6.4783046836626186</v>
      </c>
      <c r="AK66">
        <f>$AI$42*EXP($AJ$42*$Y66)</f>
        <v>6.8648976509339494</v>
      </c>
    </row>
    <row r="67" spans="1:44" x14ac:dyDescent="0.3">
      <c r="A67">
        <v>14</v>
      </c>
      <c r="B67">
        <f t="shared" si="26"/>
        <v>29</v>
      </c>
      <c r="C67">
        <f t="shared" si="27"/>
        <v>28.333333333333332</v>
      </c>
      <c r="E67">
        <v>14</v>
      </c>
      <c r="F67">
        <f t="shared" si="28"/>
        <v>0.6428571428571429</v>
      </c>
      <c r="G67">
        <f t="shared" si="29"/>
        <v>0.54978354978354982</v>
      </c>
      <c r="I67">
        <v>14</v>
      </c>
      <c r="J67">
        <f t="shared" si="30"/>
        <v>1</v>
      </c>
      <c r="K67">
        <f t="shared" si="31"/>
        <v>1</v>
      </c>
      <c r="M67">
        <v>14</v>
      </c>
      <c r="O67" t="e">
        <f t="shared" si="32"/>
        <v>#DIV/0!</v>
      </c>
      <c r="Y67">
        <v>14</v>
      </c>
      <c r="Z67">
        <f t="shared" si="33"/>
        <v>15.487807632621964</v>
      </c>
      <c r="AA67">
        <f t="shared" si="34"/>
        <v>2.3762118659319778</v>
      </c>
      <c r="AB67">
        <f t="shared" si="35"/>
        <v>3.1984260617803462</v>
      </c>
      <c r="AC67">
        <f t="shared" si="36"/>
        <v>3.4389170055705858</v>
      </c>
      <c r="AD67">
        <f t="shared" si="37"/>
        <v>5.7073727730820014</v>
      </c>
      <c r="AE67">
        <f t="shared" si="38"/>
        <v>6.2331551803971141</v>
      </c>
      <c r="AF67">
        <f t="shared" si="39"/>
        <v>5.6206674002382018</v>
      </c>
      <c r="AG67">
        <f t="shared" si="40"/>
        <v>5.713932424256587</v>
      </c>
      <c r="AH67">
        <f t="shared" si="41"/>
        <v>5.7425842133039842</v>
      </c>
      <c r="AI67">
        <f t="shared" si="42"/>
        <v>5.3601923801172928</v>
      </c>
      <c r="AJ67">
        <f t="shared" si="43"/>
        <v>5.4904327179221708</v>
      </c>
      <c r="AK67">
        <f t="shared" ref="AK67:AK123" si="44">$AI$42*EXP($AJ$42*$Y67)</f>
        <v>5.8586829279046029</v>
      </c>
      <c r="AL67">
        <f>$AI$43*EXP($AJ$43*$Y67)</f>
        <v>6.3472974338616446</v>
      </c>
    </row>
    <row r="68" spans="1:44" x14ac:dyDescent="0.3">
      <c r="A68">
        <v>15</v>
      </c>
      <c r="B68">
        <f t="shared" si="26"/>
        <v>22</v>
      </c>
      <c r="C68">
        <f t="shared" si="27"/>
        <v>21.333333333333332</v>
      </c>
      <c r="E68">
        <v>15</v>
      </c>
      <c r="F68">
        <f t="shared" si="28"/>
        <v>0.36363636363636365</v>
      </c>
      <c r="G68">
        <f t="shared" si="29"/>
        <v>0.41883116883116883</v>
      </c>
      <c r="I68">
        <v>15</v>
      </c>
      <c r="J68">
        <f t="shared" si="30"/>
        <v>1</v>
      </c>
      <c r="K68">
        <f t="shared" si="31"/>
        <v>1</v>
      </c>
      <c r="M68">
        <v>15</v>
      </c>
      <c r="O68" t="e">
        <f t="shared" si="32"/>
        <v>#DIV/0!</v>
      </c>
      <c r="Y68">
        <v>15</v>
      </c>
      <c r="Z68">
        <f t="shared" si="33"/>
        <v>14.197156996570127</v>
      </c>
      <c r="AA68">
        <f t="shared" si="34"/>
        <v>1.8785604248659284</v>
      </c>
      <c r="AB68">
        <f t="shared" si="35"/>
        <v>2.5902395568193284</v>
      </c>
      <c r="AC68">
        <f t="shared" si="36"/>
        <v>2.801877167606782</v>
      </c>
      <c r="AD68">
        <f t="shared" si="37"/>
        <v>4.8564847137700946</v>
      </c>
      <c r="AE68">
        <f t="shared" si="38"/>
        <v>5.3452822308477543</v>
      </c>
      <c r="AF68">
        <f t="shared" si="39"/>
        <v>4.7749293210464367</v>
      </c>
      <c r="AG68">
        <f t="shared" si="40"/>
        <v>4.8616558411324116</v>
      </c>
      <c r="AH68">
        <f t="shared" si="41"/>
        <v>4.888399651354705</v>
      </c>
      <c r="AI68">
        <f t="shared" si="42"/>
        <v>4.5315524306267596</v>
      </c>
      <c r="AJ68">
        <f t="shared" si="43"/>
        <v>4.6532006291787038</v>
      </c>
      <c r="AK68">
        <f t="shared" si="44"/>
        <v>4.9999530065901512</v>
      </c>
      <c r="AL68">
        <f t="shared" ref="AL68:AL123" si="45">$AI$43*EXP($AJ$43*$Y68)</f>
        <v>5.4653780223780766</v>
      </c>
      <c r="AM68">
        <f>$AI$44*EXP($AJ$44*$Y68)</f>
        <v>4.7278783429581095</v>
      </c>
    </row>
    <row r="69" spans="1:44" x14ac:dyDescent="0.3">
      <c r="A69">
        <v>16</v>
      </c>
      <c r="B69">
        <f t="shared" si="26"/>
        <v>13</v>
      </c>
      <c r="C69">
        <f t="shared" si="27"/>
        <v>14</v>
      </c>
      <c r="E69">
        <v>16</v>
      </c>
      <c r="F69">
        <f t="shared" si="28"/>
        <v>0.25</v>
      </c>
      <c r="G69">
        <f t="shared" si="29"/>
        <v>0.35606060606060602</v>
      </c>
      <c r="I69">
        <v>16</v>
      </c>
      <c r="J69">
        <f t="shared" si="30"/>
        <v>1</v>
      </c>
      <c r="K69">
        <f t="shared" si="31"/>
        <v>1</v>
      </c>
      <c r="M69">
        <v>16</v>
      </c>
      <c r="O69" t="e">
        <f t="shared" si="32"/>
        <v>#DIV/0!</v>
      </c>
      <c r="Y69">
        <v>16</v>
      </c>
      <c r="Z69">
        <f t="shared" si="33"/>
        <v>13.014060580189279</v>
      </c>
      <c r="AA69">
        <f t="shared" si="34"/>
        <v>1.4851324162074862</v>
      </c>
      <c r="AB69">
        <f t="shared" si="35"/>
        <v>2.0977008166250863</v>
      </c>
      <c r="AC69">
        <f t="shared" si="36"/>
        <v>2.2828453404485809</v>
      </c>
      <c r="AD69">
        <f t="shared" si="37"/>
        <v>4.132451955183293</v>
      </c>
      <c r="AE69">
        <f t="shared" si="38"/>
        <v>4.5838810843782714</v>
      </c>
      <c r="AF69">
        <f t="shared" si="39"/>
        <v>4.0564488871949154</v>
      </c>
      <c r="AG69">
        <f t="shared" si="40"/>
        <v>4.1365028079925255</v>
      </c>
      <c r="AH69">
        <f t="shared" si="41"/>
        <v>4.1612713481856005</v>
      </c>
      <c r="AI69">
        <f t="shared" si="42"/>
        <v>3.8310131382019432</v>
      </c>
      <c r="AJ69">
        <f t="shared" si="43"/>
        <v>3.9436374522376982</v>
      </c>
      <c r="AK69">
        <f t="shared" si="44"/>
        <v>4.2670904665344516</v>
      </c>
      <c r="AL69">
        <f t="shared" si="45"/>
        <v>4.7059960934145808</v>
      </c>
      <c r="AM69">
        <f t="shared" ref="AM69:AM123" si="46">$AI$44*EXP($AJ$44*$Y69)</f>
        <v>4.010376763747459</v>
      </c>
      <c r="AN69">
        <f>$AI$45*EXP($AJ$45*$Y69)</f>
        <v>3.4222487077527481</v>
      </c>
    </row>
    <row r="70" spans="1:44" x14ac:dyDescent="0.3">
      <c r="A70">
        <v>17</v>
      </c>
      <c r="B70">
        <f t="shared" si="26"/>
        <v>7</v>
      </c>
      <c r="C70">
        <f t="shared" si="27"/>
        <v>6.666666666666667</v>
      </c>
      <c r="E70">
        <v>17</v>
      </c>
      <c r="F70">
        <f t="shared" si="28"/>
        <v>0.45454545454545453</v>
      </c>
      <c r="G70">
        <f t="shared" si="29"/>
        <v>0.3348484848484849</v>
      </c>
      <c r="I70">
        <v>17</v>
      </c>
      <c r="J70">
        <f t="shared" si="30"/>
        <v>1</v>
      </c>
      <c r="K70">
        <f t="shared" si="31"/>
        <v>1</v>
      </c>
      <c r="M70">
        <v>17</v>
      </c>
      <c r="O70" t="e">
        <f t="shared" si="32"/>
        <v>#DIV/0!</v>
      </c>
      <c r="Y70">
        <v>17</v>
      </c>
      <c r="Z70">
        <f t="shared" si="33"/>
        <v>11.929555531840169</v>
      </c>
      <c r="AA70">
        <f t="shared" si="34"/>
        <v>1.1741002655412052</v>
      </c>
      <c r="AB70">
        <f t="shared" si="35"/>
        <v>1.6988192093988941</v>
      </c>
      <c r="AC70">
        <f t="shared" si="36"/>
        <v>1.8599612105262595</v>
      </c>
      <c r="AD70">
        <f t="shared" si="37"/>
        <v>3.5163621772508775</v>
      </c>
      <c r="AE70">
        <f t="shared" si="38"/>
        <v>3.9309366443665672</v>
      </c>
      <c r="AF70">
        <f t="shared" si="39"/>
        <v>3.4460777255690909</v>
      </c>
      <c r="AG70">
        <f t="shared" si="40"/>
        <v>3.5195118781885038</v>
      </c>
      <c r="AH70">
        <f t="shared" si="41"/>
        <v>3.54230023489009</v>
      </c>
      <c r="AI70">
        <f t="shared" si="42"/>
        <v>3.2387712356328109</v>
      </c>
      <c r="AJ70">
        <f t="shared" si="43"/>
        <v>3.3422750476668872</v>
      </c>
      <c r="AK70">
        <f t="shared" si="44"/>
        <v>3.6416464365945451</v>
      </c>
      <c r="AL70">
        <f t="shared" si="45"/>
        <v>4.0521257890221891</v>
      </c>
      <c r="AM70">
        <f t="shared" si="46"/>
        <v>3.4017630363015536</v>
      </c>
      <c r="AN70">
        <f t="shared" ref="AN70:AN123" si="47">$AI$45*EXP($AJ$45*$Y70)</f>
        <v>2.8586781544049624</v>
      </c>
      <c r="AO70">
        <f>$AI$46*EXP($AJ$46*$Y70)</f>
        <v>3.0734967152983579</v>
      </c>
    </row>
    <row r="71" spans="1:44" x14ac:dyDescent="0.3">
      <c r="A71">
        <v>18</v>
      </c>
      <c r="B71">
        <f t="shared" si="26"/>
        <v>0</v>
      </c>
      <c r="C71">
        <f t="shared" si="27"/>
        <v>2.3333333333333335</v>
      </c>
      <c r="E71">
        <v>18</v>
      </c>
      <c r="F71">
        <f t="shared" si="28"/>
        <v>0.3</v>
      </c>
      <c r="G71">
        <f t="shared" si="29"/>
        <v>0.58484848484848484</v>
      </c>
      <c r="I71">
        <v>18</v>
      </c>
      <c r="J71">
        <f t="shared" si="30"/>
        <v>1</v>
      </c>
      <c r="K71">
        <f t="shared" si="31"/>
        <v>1</v>
      </c>
      <c r="M71">
        <v>18</v>
      </c>
      <c r="O71" t="e">
        <f t="shared" si="32"/>
        <v>#DIV/0!</v>
      </c>
      <c r="Y71">
        <v>18</v>
      </c>
      <c r="Z71">
        <f t="shared" si="33"/>
        <v>10.935425904186816</v>
      </c>
      <c r="AA71">
        <f t="shared" si="34"/>
        <v>0.92820776012967909</v>
      </c>
      <c r="AB71">
        <f t="shared" si="35"/>
        <v>1.375785661782714</v>
      </c>
      <c r="AC71">
        <f t="shared" si="36"/>
        <v>1.5154139631651633</v>
      </c>
      <c r="AD71">
        <f t="shared" si="37"/>
        <v>2.9921226176850002</v>
      </c>
      <c r="AE71">
        <f t="shared" si="38"/>
        <v>3.3709999490791178</v>
      </c>
      <c r="AF71">
        <f t="shared" si="39"/>
        <v>2.9275487060002021</v>
      </c>
      <c r="AG71">
        <f t="shared" si="40"/>
        <v>2.9945498493983735</v>
      </c>
      <c r="AH71">
        <f t="shared" si="41"/>
        <v>3.0153983973127629</v>
      </c>
      <c r="AI71">
        <f t="shared" si="42"/>
        <v>2.7380848716393906</v>
      </c>
      <c r="AJ71">
        <f t="shared" si="43"/>
        <v>2.8326139584454344</v>
      </c>
      <c r="AK71">
        <f t="shared" si="44"/>
        <v>3.1078761683560576</v>
      </c>
      <c r="AL71">
        <f t="shared" si="45"/>
        <v>3.4891068934451375</v>
      </c>
      <c r="AM71">
        <f t="shared" si="46"/>
        <v>2.8855123687516655</v>
      </c>
      <c r="AN71">
        <f t="shared" si="47"/>
        <v>2.3879155164729133</v>
      </c>
      <c r="AO71">
        <f t="shared" ref="AO71:AO123" si="48">$AI$46*EXP($AJ$46*$Y71)</f>
        <v>2.5843250007225236</v>
      </c>
      <c r="AP71">
        <f>$AI$47*EXP($AJ$47*$Y71)</f>
        <v>2.452239707473566</v>
      </c>
    </row>
    <row r="72" spans="1:44" x14ac:dyDescent="0.3">
      <c r="A72">
        <v>19</v>
      </c>
      <c r="B72">
        <f t="shared" si="26"/>
        <v>0</v>
      </c>
      <c r="C72">
        <f t="shared" si="27"/>
        <v>0</v>
      </c>
      <c r="E72">
        <v>19</v>
      </c>
      <c r="F72">
        <f t="shared" si="28"/>
        <v>1</v>
      </c>
      <c r="G72">
        <f t="shared" si="29"/>
        <v>0.76666666666666661</v>
      </c>
      <c r="I72">
        <v>19</v>
      </c>
      <c r="J72">
        <f t="shared" si="30"/>
        <v>1</v>
      </c>
      <c r="K72">
        <f t="shared" si="31"/>
        <v>1</v>
      </c>
      <c r="M72">
        <v>19</v>
      </c>
      <c r="O72" t="e">
        <f t="shared" si="32"/>
        <v>#DIV/0!</v>
      </c>
      <c r="Y72">
        <v>19</v>
      </c>
      <c r="Z72">
        <f t="shared" si="33"/>
        <v>10.024140412171246</v>
      </c>
      <c r="AA72">
        <f t="shared" si="34"/>
        <v>0.73381266596325312</v>
      </c>
      <c r="AB72">
        <f t="shared" si="35"/>
        <v>1.1141775279528654</v>
      </c>
      <c r="AC72">
        <f t="shared" si="36"/>
        <v>1.234692135921575</v>
      </c>
      <c r="AD72">
        <f t="shared" si="37"/>
        <v>2.5460397160401484</v>
      </c>
      <c r="AE72">
        <f t="shared" si="38"/>
        <v>2.8908226422261665</v>
      </c>
      <c r="AF72">
        <f t="shared" si="39"/>
        <v>2.4870424025587261</v>
      </c>
      <c r="AG72">
        <f t="shared" si="40"/>
        <v>2.5478899094232692</v>
      </c>
      <c r="AH72">
        <f t="shared" si="41"/>
        <v>2.5668709289399096</v>
      </c>
      <c r="AI72">
        <f t="shared" si="42"/>
        <v>2.3148003421228567</v>
      </c>
      <c r="AJ72">
        <f t="shared" si="43"/>
        <v>2.4006707177438749</v>
      </c>
      <c r="AK72">
        <f t="shared" si="44"/>
        <v>2.652342682357697</v>
      </c>
      <c r="AL72">
        <f t="shared" si="45"/>
        <v>3.0043161411393475</v>
      </c>
      <c r="AM72">
        <f t="shared" si="46"/>
        <v>2.4476077673156187</v>
      </c>
      <c r="AN72">
        <f t="shared" si="47"/>
        <v>1.9946773319079729</v>
      </c>
      <c r="AO72">
        <f t="shared" si="48"/>
        <v>2.1730088976884216</v>
      </c>
      <c r="AP72">
        <f t="shared" ref="AP72:AP122" si="49">$AI$47*EXP($AJ$47*$Y72)</f>
        <v>2.0526947136616407</v>
      </c>
      <c r="AQ72">
        <f>$AI$48*EXP($AJ$48*$Y72)</f>
        <v>2.3374727951593055</v>
      </c>
    </row>
    <row r="73" spans="1:44" x14ac:dyDescent="0.3">
      <c r="A73">
        <v>20</v>
      </c>
      <c r="B73">
        <f t="shared" si="26"/>
        <v>0</v>
      </c>
      <c r="E73">
        <v>20</v>
      </c>
      <c r="F73">
        <f t="shared" si="28"/>
        <v>1</v>
      </c>
      <c r="I73">
        <v>20</v>
      </c>
      <c r="J73">
        <f t="shared" si="30"/>
        <v>1</v>
      </c>
      <c r="M73">
        <v>20</v>
      </c>
      <c r="Y73">
        <v>20</v>
      </c>
      <c r="Z73">
        <f t="shared" si="33"/>
        <v>9.188795377823638</v>
      </c>
      <c r="AA73">
        <f t="shared" si="34"/>
        <v>0.58012985008104934</v>
      </c>
      <c r="AB73">
        <f t="shared" si="35"/>
        <v>0.90231465429475999</v>
      </c>
      <c r="AC73">
        <f t="shared" si="36"/>
        <v>1.0059724323263559</v>
      </c>
      <c r="AD73">
        <f t="shared" si="37"/>
        <v>2.1664614268612947</v>
      </c>
      <c r="AE73">
        <f t="shared" si="38"/>
        <v>2.4790435108402704</v>
      </c>
      <c r="AF73">
        <f t="shared" si="39"/>
        <v>2.1128187891281658</v>
      </c>
      <c r="AG73">
        <f t="shared" si="40"/>
        <v>2.1678527047546567</v>
      </c>
      <c r="AH73">
        <f t="shared" si="41"/>
        <v>2.1850599813638567</v>
      </c>
      <c r="AI73">
        <f t="shared" si="42"/>
        <v>1.9569519847220387</v>
      </c>
      <c r="AJ73">
        <f t="shared" si="43"/>
        <v>2.0345941874111935</v>
      </c>
      <c r="AK73">
        <f t="shared" si="44"/>
        <v>2.2635785094287137</v>
      </c>
      <c r="AL73">
        <f t="shared" si="45"/>
        <v>2.5868841945963563</v>
      </c>
      <c r="AM73">
        <f t="shared" si="46"/>
        <v>2.0761594535169126</v>
      </c>
      <c r="AN73">
        <f t="shared" si="47"/>
        <v>1.6661969952372233</v>
      </c>
      <c r="AO73">
        <f t="shared" si="48"/>
        <v>1.8271570596240356</v>
      </c>
      <c r="AP73">
        <f t="shared" si="49"/>
        <v>1.7182478428405692</v>
      </c>
      <c r="AQ73">
        <f t="shared" ref="AQ73:AQ123" si="50">$AI$48*EXP($AJ$48*$Y73)</f>
        <v>1.9773465093092628</v>
      </c>
      <c r="AR73">
        <f>$AI$49*EXP($AJ$49*$Y73)</f>
        <v>1.742191855983692</v>
      </c>
    </row>
    <row r="74" spans="1:44" x14ac:dyDescent="0.3">
      <c r="Y74">
        <v>21</v>
      </c>
      <c r="Z74">
        <f t="shared" si="33"/>
        <v>8.4230624296716652</v>
      </c>
      <c r="AA74">
        <f t="shared" si="34"/>
        <v>0.45863291622703312</v>
      </c>
      <c r="AB74">
        <f t="shared" si="35"/>
        <v>0.73073788954529617</v>
      </c>
      <c r="AC74">
        <f t="shared" si="36"/>
        <v>0.81962175441026952</v>
      </c>
      <c r="AD74">
        <f t="shared" si="37"/>
        <v>1.8434728588514542</v>
      </c>
      <c r="AE74">
        <f t="shared" si="38"/>
        <v>2.1259196738221915</v>
      </c>
      <c r="AF74">
        <f t="shared" si="39"/>
        <v>1.7949043535005045</v>
      </c>
      <c r="AG74">
        <f t="shared" si="40"/>
        <v>1.8445009465012006</v>
      </c>
      <c r="AH74">
        <f t="shared" si="41"/>
        <v>1.860041760701086</v>
      </c>
      <c r="AI74">
        <f t="shared" si="42"/>
        <v>1.654423926253364</v>
      </c>
      <c r="AJ74">
        <f t="shared" si="43"/>
        <v>1.7243404007267364</v>
      </c>
      <c r="AK74">
        <f t="shared" si="44"/>
        <v>1.9317970119128511</v>
      </c>
      <c r="AL74">
        <f t="shared" si="45"/>
        <v>2.2274519464235203</v>
      </c>
      <c r="AM74">
        <f t="shared" si="46"/>
        <v>1.7610820385469923</v>
      </c>
      <c r="AN74">
        <f t="shared" si="47"/>
        <v>1.391810285567348</v>
      </c>
      <c r="AO74">
        <f t="shared" si="48"/>
        <v>1.5363503223964459</v>
      </c>
      <c r="AP74">
        <f t="shared" si="49"/>
        <v>1.4382926159339879</v>
      </c>
      <c r="AQ74">
        <f t="shared" si="50"/>
        <v>1.6727036250323752</v>
      </c>
      <c r="AR74">
        <f t="shared" ref="AR74:AR123" si="51">$AI$49*EXP($AJ$49*$Y74)</f>
        <v>1.459494429649479</v>
      </c>
    </row>
    <row r="75" spans="1:44" x14ac:dyDescent="0.3">
      <c r="Y75">
        <v>22</v>
      </c>
      <c r="Z75">
        <f t="shared" si="33"/>
        <v>7.7211405605323566</v>
      </c>
      <c r="AA75">
        <f t="shared" si="34"/>
        <v>0.36258115630065579</v>
      </c>
      <c r="AB75">
        <f t="shared" si="35"/>
        <v>0.59178675717559492</v>
      </c>
      <c r="AC75">
        <f t="shared" si="36"/>
        <v>0.66779148087492557</v>
      </c>
      <c r="AD75">
        <f t="shared" si="37"/>
        <v>1.5686372899080159</v>
      </c>
      <c r="AE75">
        <f t="shared" si="38"/>
        <v>1.8230960609531048</v>
      </c>
      <c r="AF75">
        <f t="shared" si="39"/>
        <v>1.5248262912052477</v>
      </c>
      <c r="AG75">
        <f t="shared" si="40"/>
        <v>1.5693795681699063</v>
      </c>
      <c r="AH75">
        <f t="shared" si="41"/>
        <v>1.583368594482476</v>
      </c>
      <c r="AI75">
        <f t="shared" si="42"/>
        <v>1.3986641211068707</v>
      </c>
      <c r="AJ75">
        <f t="shared" si="43"/>
        <v>1.461396988144213</v>
      </c>
      <c r="AK75">
        <f t="shared" si="44"/>
        <v>1.6486460176622144</v>
      </c>
      <c r="AL75">
        <f t="shared" si="45"/>
        <v>1.917960681807831</v>
      </c>
      <c r="AM75">
        <f t="shared" si="46"/>
        <v>1.4938206895617747</v>
      </c>
      <c r="AN75">
        <f t="shared" si="47"/>
        <v>1.1626091491872272</v>
      </c>
      <c r="AO75">
        <f t="shared" si="48"/>
        <v>1.2918278156193883</v>
      </c>
      <c r="AP75">
        <f t="shared" si="49"/>
        <v>1.2039506743278254</v>
      </c>
      <c r="AQ75">
        <f t="shared" si="50"/>
        <v>1.4149960080460746</v>
      </c>
      <c r="AR75">
        <f t="shared" si="51"/>
        <v>1.2226690090771477</v>
      </c>
    </row>
    <row r="76" spans="1:44" x14ac:dyDescent="0.3">
      <c r="Y76">
        <v>23</v>
      </c>
      <c r="Z76">
        <f t="shared" si="33"/>
        <v>7.0777121804879908</v>
      </c>
      <c r="AA76">
        <f t="shared" si="34"/>
        <v>0.28664557264189566</v>
      </c>
      <c r="AB76">
        <f t="shared" si="35"/>
        <v>0.47925743413459332</v>
      </c>
      <c r="AC76">
        <f t="shared" si="36"/>
        <v>0.54408690292754702</v>
      </c>
      <c r="AD76">
        <f t="shared" si="37"/>
        <v>1.3347757931315651</v>
      </c>
      <c r="AE76">
        <f t="shared" si="38"/>
        <v>1.563407728141996</v>
      </c>
      <c r="AF76">
        <f t="shared" si="39"/>
        <v>1.2953866950159456</v>
      </c>
      <c r="AG76">
        <f t="shared" si="40"/>
        <v>1.3352946408951916</v>
      </c>
      <c r="AH76">
        <f t="shared" si="41"/>
        <v>1.3478493649779415</v>
      </c>
      <c r="AI76">
        <f t="shared" si="42"/>
        <v>1.1824425968632095</v>
      </c>
      <c r="AJ76">
        <f t="shared" si="43"/>
        <v>1.2385496251534089</v>
      </c>
      <c r="AK76">
        <f t="shared" si="44"/>
        <v>1.4069975648539297</v>
      </c>
      <c r="AL76">
        <f t="shared" si="45"/>
        <v>1.6514713966634449</v>
      </c>
      <c r="AM76">
        <f t="shared" si="46"/>
        <v>1.2671188529092883</v>
      </c>
      <c r="AN76">
        <f t="shared" si="47"/>
        <v>0.97115249670889359</v>
      </c>
      <c r="AO76">
        <f t="shared" si="48"/>
        <v>1.086223031870027</v>
      </c>
      <c r="AP76">
        <f t="shared" si="49"/>
        <v>1.0077902160911538</v>
      </c>
      <c r="AQ76">
        <f t="shared" si="50"/>
        <v>1.196992505320585</v>
      </c>
      <c r="AR76">
        <f t="shared" si="51"/>
        <v>1.024272155746921</v>
      </c>
    </row>
    <row r="77" spans="1:44" x14ac:dyDescent="0.3">
      <c r="Y77">
        <v>24</v>
      </c>
      <c r="Z77">
        <f t="shared" si="33"/>
        <v>6.4879028321139893</v>
      </c>
      <c r="AA77">
        <f t="shared" si="34"/>
        <v>0.22661322268790984</v>
      </c>
      <c r="AB77">
        <f t="shared" si="35"/>
        <v>0.38812576555362321</v>
      </c>
      <c r="AC77">
        <f t="shared" si="36"/>
        <v>0.44329789524933344</v>
      </c>
      <c r="AD77">
        <f t="shared" si="37"/>
        <v>1.135779717460671</v>
      </c>
      <c r="AE77">
        <f t="shared" si="38"/>
        <v>1.3407103315972726</v>
      </c>
      <c r="AF77">
        <f t="shared" si="39"/>
        <v>1.1004707220112233</v>
      </c>
      <c r="AG77">
        <f t="shared" si="40"/>
        <v>1.136125265147063</v>
      </c>
      <c r="AH77">
        <f t="shared" si="41"/>
        <v>1.147362602114278</v>
      </c>
      <c r="AI77">
        <f t="shared" si="42"/>
        <v>0.99964707307293388</v>
      </c>
      <c r="AJ77">
        <f t="shared" si="43"/>
        <v>1.0496840943374595</v>
      </c>
      <c r="AK77">
        <f t="shared" si="44"/>
        <v>1.200768464725998</v>
      </c>
      <c r="AL77">
        <f t="shared" si="45"/>
        <v>1.4220092204532355</v>
      </c>
      <c r="AM77">
        <f t="shared" si="46"/>
        <v>1.0748212276194706</v>
      </c>
      <c r="AN77">
        <f t="shared" si="47"/>
        <v>0.81122462568203513</v>
      </c>
      <c r="AO77">
        <f t="shared" si="48"/>
        <v>0.91334190261199821</v>
      </c>
      <c r="AP77">
        <f t="shared" si="49"/>
        <v>0.84359030756479725</v>
      </c>
      <c r="AQ77">
        <f t="shared" si="50"/>
        <v>1.0125760423678858</v>
      </c>
      <c r="AR77">
        <f t="shared" si="51"/>
        <v>0.85806824353085931</v>
      </c>
    </row>
    <row r="78" spans="1:44" x14ac:dyDescent="0.3">
      <c r="R78">
        <v>1</v>
      </c>
      <c r="S78">
        <v>48</v>
      </c>
      <c r="T78">
        <f>$AI$49*EXP($AJ$49*R78)</f>
        <v>50.358547053863653</v>
      </c>
      <c r="Y78">
        <v>25</v>
      </c>
      <c r="Z78">
        <f t="shared" si="33"/>
        <v>5.9472442627711546</v>
      </c>
      <c r="AA78">
        <f t="shared" si="34"/>
        <v>0.17915348290118477</v>
      </c>
      <c r="AB78">
        <f t="shared" si="35"/>
        <v>0.31432294870626937</v>
      </c>
      <c r="AC78">
        <f t="shared" si="36"/>
        <v>0.36117947863681193</v>
      </c>
      <c r="AD78">
        <f t="shared" si="37"/>
        <v>0.96645112477544781</v>
      </c>
      <c r="AE78">
        <f t="shared" si="38"/>
        <v>1.1497347498645669</v>
      </c>
      <c r="AF78">
        <f t="shared" si="39"/>
        <v>0.93488362561034011</v>
      </c>
      <c r="AG78">
        <f t="shared" si="40"/>
        <v>0.96666352022512081</v>
      </c>
      <c r="AH78">
        <f t="shared" si="41"/>
        <v>0.97669737801300294</v>
      </c>
      <c r="AI78">
        <f t="shared" si="42"/>
        <v>0.84511017562646762</v>
      </c>
      <c r="AJ78">
        <f t="shared" si="43"/>
        <v>0.88961853084294229</v>
      </c>
      <c r="AK78">
        <f t="shared" si="44"/>
        <v>1.0247671651301813</v>
      </c>
      <c r="AL78">
        <f t="shared" si="45"/>
        <v>1.224429455538494</v>
      </c>
      <c r="AM78">
        <f t="shared" si="46"/>
        <v>0.91170663958555132</v>
      </c>
      <c r="AN78">
        <f t="shared" si="47"/>
        <v>0.67763342579370567</v>
      </c>
      <c r="AO78">
        <f t="shared" si="48"/>
        <v>0.7679761951196783</v>
      </c>
      <c r="AP78">
        <f t="shared" si="49"/>
        <v>0.70614359581449004</v>
      </c>
      <c r="AQ78">
        <f t="shared" si="50"/>
        <v>0.85657198104411281</v>
      </c>
      <c r="AR78">
        <f t="shared" si="51"/>
        <v>0.7188334725541986</v>
      </c>
    </row>
    <row r="79" spans="1:44" x14ac:dyDescent="0.3">
      <c r="R79">
        <v>2</v>
      </c>
      <c r="S79">
        <v>44</v>
      </c>
      <c r="T79">
        <f>$AI$49*EXP($AJ$49*R79)</f>
        <v>42.18709819927156</v>
      </c>
      <c r="Y79">
        <v>26</v>
      </c>
      <c r="Z79">
        <f t="shared" si="33"/>
        <v>5.4516405742068894</v>
      </c>
      <c r="AA79">
        <f t="shared" si="34"/>
        <v>0.14163326417994365</v>
      </c>
      <c r="AB79">
        <f t="shared" si="35"/>
        <v>0.25455387106928401</v>
      </c>
      <c r="AC79">
        <f t="shared" si="36"/>
        <v>0.29427303216720008</v>
      </c>
      <c r="AD79">
        <f t="shared" si="37"/>
        <v>0.82236701555825331</v>
      </c>
      <c r="AE79">
        <f t="shared" si="38"/>
        <v>0.98596241402218976</v>
      </c>
      <c r="AF79">
        <f t="shared" si="39"/>
        <v>0.7942123092897877</v>
      </c>
      <c r="AG79">
        <f t="shared" si="40"/>
        <v>0.82247828650572841</v>
      </c>
      <c r="AH79">
        <f t="shared" si="41"/>
        <v>0.83141786777748083</v>
      </c>
      <c r="AI79">
        <f t="shared" si="42"/>
        <v>0.71446336230635921</v>
      </c>
      <c r="AJ79">
        <f t="shared" si="43"/>
        <v>0.75396124861612324</v>
      </c>
      <c r="AK79">
        <f t="shared" si="44"/>
        <v>0.87456305988896943</v>
      </c>
      <c r="AL79">
        <f t="shared" si="45"/>
        <v>1.0543022295681359</v>
      </c>
      <c r="AM79">
        <f t="shared" si="46"/>
        <v>0.77334627871590478</v>
      </c>
      <c r="AN79">
        <f t="shared" si="47"/>
        <v>0.56604181531946618</v>
      </c>
      <c r="AO79">
        <f t="shared" si="48"/>
        <v>0.64574660878232981</v>
      </c>
      <c r="AP79">
        <f t="shared" si="49"/>
        <v>0.59109116527102368</v>
      </c>
      <c r="AQ79">
        <f t="shared" si="50"/>
        <v>0.72460292166705809</v>
      </c>
      <c r="AR79">
        <f t="shared" si="51"/>
        <v>0.60219168482226271</v>
      </c>
    </row>
    <row r="80" spans="1:44" x14ac:dyDescent="0.3">
      <c r="R80">
        <v>3</v>
      </c>
      <c r="S80">
        <v>30</v>
      </c>
      <c r="T80">
        <f t="shared" ref="T80:T96" si="52">$AI$49*EXP($AJ$49*R80)</f>
        <v>35.341592611306957</v>
      </c>
      <c r="Y80">
        <v>27</v>
      </c>
      <c r="Z80">
        <f t="shared" si="33"/>
        <v>4.9973371930229806</v>
      </c>
      <c r="AA80">
        <f t="shared" si="34"/>
        <v>0.11197092681324046</v>
      </c>
      <c r="AB80">
        <f t="shared" si="35"/>
        <v>0.20614999173003504</v>
      </c>
      <c r="AC80">
        <f t="shared" si="36"/>
        <v>0.23976062479440077</v>
      </c>
      <c r="AD80">
        <f t="shared" si="37"/>
        <v>0.69976379657618171</v>
      </c>
      <c r="AE80">
        <f t="shared" si="38"/>
        <v>0.8455183962900793</v>
      </c>
      <c r="AF80">
        <f t="shared" si="39"/>
        <v>0.67470771221992132</v>
      </c>
      <c r="AG80">
        <f t="shared" si="40"/>
        <v>0.69979937963921479</v>
      </c>
      <c r="AH80">
        <f t="shared" si="41"/>
        <v>0.70774805627711013</v>
      </c>
      <c r="AI80">
        <f t="shared" si="42"/>
        <v>0.60401343020123144</v>
      </c>
      <c r="AJ80">
        <f t="shared" si="43"/>
        <v>0.63899024661295134</v>
      </c>
      <c r="AK80">
        <f t="shared" si="44"/>
        <v>0.74637495398790676</v>
      </c>
      <c r="AL80">
        <f t="shared" si="45"/>
        <v>0.90781317473573087</v>
      </c>
      <c r="AM80">
        <f t="shared" si="46"/>
        <v>0.65598344997861358</v>
      </c>
      <c r="AN80">
        <f t="shared" si="47"/>
        <v>0.47282693635555412</v>
      </c>
      <c r="AO80">
        <f t="shared" si="48"/>
        <v>0.54297084389301553</v>
      </c>
      <c r="AP80">
        <f t="shared" si="49"/>
        <v>0.49478430128430206</v>
      </c>
      <c r="AQ80">
        <f t="shared" si="50"/>
        <v>0.61296587526529955</v>
      </c>
      <c r="AR80">
        <f t="shared" si="51"/>
        <v>0.50447682128733073</v>
      </c>
    </row>
    <row r="81" spans="18:44" x14ac:dyDescent="0.3">
      <c r="R81">
        <v>4</v>
      </c>
      <c r="S81">
        <v>27</v>
      </c>
      <c r="T81">
        <f t="shared" si="52"/>
        <v>29.606875599828605</v>
      </c>
      <c r="Y81">
        <v>28</v>
      </c>
      <c r="Z81">
        <f t="shared" si="33"/>
        <v>4.58089242693773</v>
      </c>
      <c r="AA81">
        <f t="shared" si="34"/>
        <v>8.8520790112464762E-2</v>
      </c>
      <c r="AB81">
        <f t="shared" si="35"/>
        <v>0.16695019766062211</v>
      </c>
      <c r="AC81">
        <f t="shared" si="36"/>
        <v>0.19534633118925937</v>
      </c>
      <c r="AD81">
        <f t="shared" si="37"/>
        <v>0.59543897278796676</v>
      </c>
      <c r="AE81">
        <f t="shared" si="38"/>
        <v>0.72507972748021898</v>
      </c>
      <c r="AF81">
        <f t="shared" si="39"/>
        <v>0.57318489225648384</v>
      </c>
      <c r="AG81">
        <f t="shared" si="40"/>
        <v>0.59541896701490493</v>
      </c>
      <c r="AH81">
        <f t="shared" si="41"/>
        <v>0.60247359429866054</v>
      </c>
      <c r="AI81">
        <f t="shared" si="42"/>
        <v>0.51063811401853132</v>
      </c>
      <c r="AJ81">
        <f t="shared" si="43"/>
        <v>0.54155108901938975</v>
      </c>
      <c r="AK81">
        <f t="shared" si="44"/>
        <v>0.63697587685806645</v>
      </c>
      <c r="AL81">
        <f t="shared" si="45"/>
        <v>0.78167790706593177</v>
      </c>
      <c r="AM81">
        <f t="shared" si="46"/>
        <v>0.55643157339601479</v>
      </c>
      <c r="AN81">
        <f t="shared" si="47"/>
        <v>0.39496253755953009</v>
      </c>
      <c r="AO81">
        <f t="shared" si="48"/>
        <v>0.4565526683505533</v>
      </c>
      <c r="AP81">
        <f t="shared" si="49"/>
        <v>0.41416877663049734</v>
      </c>
      <c r="AQ81">
        <f t="shared" si="50"/>
        <v>0.51852835947078191</v>
      </c>
      <c r="AR81">
        <f t="shared" si="51"/>
        <v>0.42261769737203203</v>
      </c>
    </row>
    <row r="82" spans="18:44" x14ac:dyDescent="0.3">
      <c r="R82">
        <v>5</v>
      </c>
      <c r="S82">
        <v>22</v>
      </c>
      <c r="T82">
        <f t="shared" si="52"/>
        <v>24.802704632594388</v>
      </c>
      <c r="Y82">
        <v>29</v>
      </c>
      <c r="Z82">
        <f t="shared" si="33"/>
        <v>4.1991513913595853</v>
      </c>
      <c r="AA82">
        <f t="shared" si="34"/>
        <v>6.9981829258275272E-2</v>
      </c>
      <c r="AB82">
        <f t="shared" si="35"/>
        <v>0.13520431538712463</v>
      </c>
      <c r="AC82">
        <f t="shared" si="36"/>
        <v>0.15915953314614059</v>
      </c>
      <c r="AD82">
        <f t="shared" si="37"/>
        <v>0.50666749558854884</v>
      </c>
      <c r="AE82">
        <f t="shared" si="38"/>
        <v>0.6217967740378032</v>
      </c>
      <c r="AF82">
        <f t="shared" si="39"/>
        <v>0.48693814337783786</v>
      </c>
      <c r="AG82">
        <f t="shared" si="40"/>
        <v>0.50660768871197437</v>
      </c>
      <c r="AH82">
        <f t="shared" si="41"/>
        <v>0.51285825317057299</v>
      </c>
      <c r="AI82">
        <f t="shared" si="42"/>
        <v>0.43169782400621687</v>
      </c>
      <c r="AJ82">
        <f t="shared" si="43"/>
        <v>0.45897035764261224</v>
      </c>
      <c r="AK82">
        <f t="shared" si="44"/>
        <v>0.5436118475455658</v>
      </c>
      <c r="AL82">
        <f t="shared" si="45"/>
        <v>0.67306838829789684</v>
      </c>
      <c r="AM82">
        <f t="shared" si="46"/>
        <v>0.47198766353336952</v>
      </c>
      <c r="AN82">
        <f t="shared" si="47"/>
        <v>0.32992072591684701</v>
      </c>
      <c r="AO82">
        <f t="shared" si="48"/>
        <v>0.38388864028780262</v>
      </c>
      <c r="AP82">
        <f t="shared" si="49"/>
        <v>0.34668799129307559</v>
      </c>
      <c r="AQ82">
        <f t="shared" si="50"/>
        <v>0.43864050255503872</v>
      </c>
      <c r="AR82">
        <f t="shared" si="51"/>
        <v>0.35404147543641351</v>
      </c>
    </row>
    <row r="83" spans="18:44" x14ac:dyDescent="0.3">
      <c r="R83">
        <v>6</v>
      </c>
      <c r="S83">
        <v>24</v>
      </c>
      <c r="T83">
        <f t="shared" si="52"/>
        <v>20.778084300637257</v>
      </c>
      <c r="Y83">
        <v>30</v>
      </c>
      <c r="Z83">
        <f t="shared" si="33"/>
        <v>3.8492221087462846</v>
      </c>
      <c r="AA83">
        <f t="shared" si="34"/>
        <v>5.5325493820290464E-2</v>
      </c>
      <c r="AB83">
        <f t="shared" si="35"/>
        <v>0.10949497008959075</v>
      </c>
      <c r="AC83">
        <f t="shared" si="36"/>
        <v>0.12967613385456939</v>
      </c>
      <c r="AD83">
        <f t="shared" si="37"/>
        <v>0.43113058233994056</v>
      </c>
      <c r="AE83">
        <f t="shared" si="38"/>
        <v>0.53322581441827255</v>
      </c>
      <c r="AF83">
        <f t="shared" si="39"/>
        <v>0.41366888534486379</v>
      </c>
      <c r="AG83">
        <f t="shared" si="40"/>
        <v>0.43104328964996558</v>
      </c>
      <c r="AH83">
        <f t="shared" si="41"/>
        <v>0.43657280640051449</v>
      </c>
      <c r="AI83">
        <f t="shared" si="42"/>
        <v>0.36496102843772327</v>
      </c>
      <c r="AJ83">
        <f t="shared" si="43"/>
        <v>0.38898230188407013</v>
      </c>
      <c r="AK83">
        <f t="shared" si="44"/>
        <v>0.46393254678583584</v>
      </c>
      <c r="AL83">
        <f t="shared" si="45"/>
        <v>0.57954951934917376</v>
      </c>
      <c r="AM83">
        <f t="shared" si="46"/>
        <v>0.40035893931766703</v>
      </c>
      <c r="AN83">
        <f t="shared" si="47"/>
        <v>0.27558989787251253</v>
      </c>
      <c r="AO83">
        <f t="shared" si="48"/>
        <v>0.32278967654365515</v>
      </c>
      <c r="AP83">
        <f t="shared" si="49"/>
        <v>0.29020189374163802</v>
      </c>
      <c r="AQ83">
        <f t="shared" si="50"/>
        <v>0.37106068929018493</v>
      </c>
      <c r="AR83">
        <f t="shared" si="51"/>
        <v>0.29659280032196705</v>
      </c>
    </row>
    <row r="84" spans="18:44" x14ac:dyDescent="0.3">
      <c r="R84">
        <v>7</v>
      </c>
      <c r="S84">
        <v>19</v>
      </c>
      <c r="T84">
        <f t="shared" si="52"/>
        <v>17.406520522646293</v>
      </c>
      <c r="Y84">
        <v>31</v>
      </c>
      <c r="Z84">
        <f t="shared" si="33"/>
        <v>3.5284535996840933</v>
      </c>
      <c r="AA84">
        <f t="shared" si="34"/>
        <v>4.373864328642204E-2</v>
      </c>
      <c r="AB84">
        <f t="shared" si="35"/>
        <v>8.8674303335602597E-2</v>
      </c>
      <c r="AC84">
        <f t="shared" si="36"/>
        <v>0.10565436677944887</v>
      </c>
      <c r="AD84">
        <f t="shared" si="37"/>
        <v>0.36685514789707224</v>
      </c>
      <c r="AE84">
        <f t="shared" si="38"/>
        <v>0.4572712195266937</v>
      </c>
      <c r="AF84">
        <f t="shared" si="39"/>
        <v>0.35142440375569589</v>
      </c>
      <c r="AG84">
        <f t="shared" si="40"/>
        <v>0.36674989679814646</v>
      </c>
      <c r="AH84">
        <f t="shared" si="41"/>
        <v>0.37163448986172498</v>
      </c>
      <c r="AI84">
        <f t="shared" si="42"/>
        <v>0.30854117132729048</v>
      </c>
      <c r="AJ84">
        <f t="shared" si="43"/>
        <v>0.32966667380477938</v>
      </c>
      <c r="AK84">
        <f t="shared" si="44"/>
        <v>0.39593215074134414</v>
      </c>
      <c r="AL84">
        <f t="shared" si="45"/>
        <v>0.49902454374250083</v>
      </c>
      <c r="AM84">
        <f t="shared" si="46"/>
        <v>0.33960057153111428</v>
      </c>
      <c r="AN84">
        <f t="shared" si="47"/>
        <v>0.23020618543535878</v>
      </c>
      <c r="AO84">
        <f t="shared" si="48"/>
        <v>0.27141510414333608</v>
      </c>
      <c r="AP84">
        <f t="shared" si="49"/>
        <v>0.24291911241897965</v>
      </c>
      <c r="AQ84">
        <f t="shared" si="50"/>
        <v>0.31389266229292351</v>
      </c>
      <c r="AR84">
        <f t="shared" si="51"/>
        <v>0.24846605639746661</v>
      </c>
    </row>
    <row r="85" spans="18:44" x14ac:dyDescent="0.3">
      <c r="R85">
        <v>8</v>
      </c>
      <c r="S85">
        <v>14</v>
      </c>
      <c r="T85">
        <f t="shared" si="52"/>
        <v>14.582044827684811</v>
      </c>
      <c r="Y85">
        <v>32</v>
      </c>
      <c r="Z85">
        <f t="shared" si="33"/>
        <v>3.2344157997104177</v>
      </c>
      <c r="AA85">
        <f t="shared" si="34"/>
        <v>3.4578433637681538E-2</v>
      </c>
      <c r="AB85">
        <f t="shared" si="35"/>
        <v>7.181272405134867E-2</v>
      </c>
      <c r="AC85">
        <f t="shared" si="36"/>
        <v>8.6082495581533428E-2</v>
      </c>
      <c r="AD85">
        <f t="shared" si="37"/>
        <v>0.31216226603119085</v>
      </c>
      <c r="AE85">
        <f t="shared" si="38"/>
        <v>0.39213586918245086</v>
      </c>
      <c r="AF85">
        <f t="shared" si="39"/>
        <v>0.29854580784360596</v>
      </c>
      <c r="AG85">
        <f t="shared" si="40"/>
        <v>0.3120463536520382</v>
      </c>
      <c r="AH85">
        <f t="shared" si="41"/>
        <v>0.31635546701477235</v>
      </c>
      <c r="AI85">
        <f t="shared" si="42"/>
        <v>0.26084334212758531</v>
      </c>
      <c r="AJ85">
        <f t="shared" si="43"/>
        <v>0.27939604267624774</v>
      </c>
      <c r="AK85">
        <f t="shared" si="44"/>
        <v>0.33789883696828082</v>
      </c>
      <c r="AL85">
        <f t="shared" si="45"/>
        <v>0.42968803690332297</v>
      </c>
      <c r="AM85">
        <f t="shared" si="46"/>
        <v>0.28806287772870548</v>
      </c>
      <c r="AN85">
        <f t="shared" si="47"/>
        <v>0.19229619163041367</v>
      </c>
      <c r="AO85">
        <f t="shared" si="48"/>
        <v>0.22821720801586737</v>
      </c>
      <c r="AP85">
        <f t="shared" si="49"/>
        <v>0.20334014508864748</v>
      </c>
      <c r="AQ85">
        <f t="shared" si="50"/>
        <v>0.26553231394524235</v>
      </c>
      <c r="AR85">
        <f t="shared" si="51"/>
        <v>0.20814861694111275</v>
      </c>
    </row>
    <row r="86" spans="18:44" x14ac:dyDescent="0.3">
      <c r="R86">
        <v>9</v>
      </c>
      <c r="S86">
        <v>13</v>
      </c>
      <c r="T86">
        <f t="shared" si="52"/>
        <v>12.215883759190408</v>
      </c>
      <c r="Y86">
        <v>33</v>
      </c>
      <c r="Z86">
        <f t="shared" si="33"/>
        <v>2.9648811497345484</v>
      </c>
      <c r="AA86">
        <f t="shared" si="34"/>
        <v>2.7336652054013796E-2</v>
      </c>
      <c r="AB86">
        <f t="shared" si="35"/>
        <v>5.815740458830982E-2</v>
      </c>
      <c r="AC86">
        <f t="shared" si="36"/>
        <v>7.013620233050416E-2</v>
      </c>
      <c r="AD86">
        <f t="shared" si="37"/>
        <v>0.26562331452158866</v>
      </c>
      <c r="AE86">
        <f t="shared" si="38"/>
        <v>0.33627863144030584</v>
      </c>
      <c r="AF86">
        <f t="shared" si="39"/>
        <v>0.25362381903037284</v>
      </c>
      <c r="AG86">
        <f t="shared" si="40"/>
        <v>0.26550226101665536</v>
      </c>
      <c r="AH86">
        <f t="shared" si="41"/>
        <v>0.26929895970466045</v>
      </c>
      <c r="AI86">
        <f t="shared" si="42"/>
        <v>0.22051918983646646</v>
      </c>
      <c r="AJ86">
        <f t="shared" si="43"/>
        <v>0.2367911434971863</v>
      </c>
      <c r="AK86">
        <f t="shared" si="44"/>
        <v>0.28837169148990344</v>
      </c>
      <c r="AL86">
        <f t="shared" si="45"/>
        <v>0.36998542731618111</v>
      </c>
      <c r="AM86">
        <f t="shared" si="46"/>
        <v>0.24434653084127825</v>
      </c>
      <c r="AN86">
        <f t="shared" si="47"/>
        <v>0.16062915618722176</v>
      </c>
      <c r="AO86">
        <f t="shared" si="48"/>
        <v>0.19189460438816353</v>
      </c>
      <c r="AP86">
        <f t="shared" si="49"/>
        <v>0.17020980437865985</v>
      </c>
      <c r="AQ86">
        <f t="shared" si="50"/>
        <v>0.22462267589841739</v>
      </c>
      <c r="AR86">
        <f t="shared" si="51"/>
        <v>0.17437330218333941</v>
      </c>
    </row>
    <row r="87" spans="18:44" x14ac:dyDescent="0.3">
      <c r="R87">
        <v>10</v>
      </c>
      <c r="S87">
        <v>11</v>
      </c>
      <c r="T87">
        <f t="shared" si="52"/>
        <v>10.233668719405856</v>
      </c>
      <c r="Y87">
        <v>34</v>
      </c>
      <c r="Z87">
        <f t="shared" si="33"/>
        <v>2.7178077205900015</v>
      </c>
      <c r="AA87">
        <f t="shared" si="34"/>
        <v>2.1611521023550958E-2</v>
      </c>
      <c r="AB87">
        <f t="shared" si="35"/>
        <v>4.7098668837989063E-2</v>
      </c>
      <c r="AC87">
        <f t="shared" si="36"/>
        <v>5.7143869309484417E-2</v>
      </c>
      <c r="AD87">
        <f t="shared" si="37"/>
        <v>0.22602265839005981</v>
      </c>
      <c r="AE87">
        <f t="shared" si="38"/>
        <v>0.28837789870926178</v>
      </c>
      <c r="AF87">
        <f t="shared" si="39"/>
        <v>0.21546121194657056</v>
      </c>
      <c r="AG87">
        <f t="shared" si="40"/>
        <v>0.22590057464206406</v>
      </c>
      <c r="AH87">
        <f t="shared" si="41"/>
        <v>0.22924190431210689</v>
      </c>
      <c r="AI87">
        <f t="shared" si="42"/>
        <v>0.18642880699767286</v>
      </c>
      <c r="AJ87">
        <f t="shared" si="43"/>
        <v>0.20068303438240437</v>
      </c>
      <c r="AK87">
        <f t="shared" si="44"/>
        <v>0.24610393216758616</v>
      </c>
      <c r="AL87">
        <f t="shared" si="45"/>
        <v>0.31857814197684176</v>
      </c>
      <c r="AM87">
        <f t="shared" si="46"/>
        <v>0.2072645653092362</v>
      </c>
      <c r="AN87">
        <f t="shared" si="47"/>
        <v>0.13417699850764003</v>
      </c>
      <c r="AO87">
        <f t="shared" si="48"/>
        <v>0.16135303517835331</v>
      </c>
      <c r="AP87">
        <f t="shared" si="49"/>
        <v>0.14247741140339681</v>
      </c>
      <c r="AQ87">
        <f t="shared" si="50"/>
        <v>0.19001584318724479</v>
      </c>
      <c r="AR87">
        <f t="shared" si="51"/>
        <v>0.14607855176344678</v>
      </c>
    </row>
    <row r="88" spans="18:44" x14ac:dyDescent="0.3">
      <c r="R88">
        <v>11</v>
      </c>
      <c r="S88">
        <v>8</v>
      </c>
      <c r="T88">
        <f t="shared" si="52"/>
        <v>8.5730985594681677</v>
      </c>
      <c r="Y88">
        <v>35</v>
      </c>
      <c r="Z88">
        <f t="shared" ref="Z88:Z119" si="53">$AI$31*EXP($AJ$31*Y88)</f>
        <v>2.4913237438741671</v>
      </c>
      <c r="AA88">
        <f t="shared" si="34"/>
        <v>1.7085407533758621E-2</v>
      </c>
      <c r="AB88">
        <f t="shared" si="35"/>
        <v>3.8142771707464704E-2</v>
      </c>
      <c r="AC88">
        <f t="shared" si="36"/>
        <v>4.6558292168026566E-2</v>
      </c>
      <c r="AD88">
        <f t="shared" si="37"/>
        <v>0.192325896534047</v>
      </c>
      <c r="AE88">
        <f t="shared" si="38"/>
        <v>0.24730031791726129</v>
      </c>
      <c r="AF88">
        <f t="shared" si="39"/>
        <v>0.18304090692651187</v>
      </c>
      <c r="AG88">
        <f t="shared" si="40"/>
        <v>0.19220578170674604</v>
      </c>
      <c r="AH88">
        <f t="shared" si="41"/>
        <v>0.19514316264078641</v>
      </c>
      <c r="AI88">
        <f t="shared" si="42"/>
        <v>0.15760850610937682</v>
      </c>
      <c r="AJ88">
        <f t="shared" si="43"/>
        <v>0.17008102454392601</v>
      </c>
      <c r="AK88">
        <f t="shared" si="44"/>
        <v>0.21003152256527408</v>
      </c>
      <c r="AL88">
        <f t="shared" si="45"/>
        <v>0.27431359467756539</v>
      </c>
      <c r="AM88">
        <f t="shared" si="46"/>
        <v>0.17581014915546922</v>
      </c>
      <c r="AN88">
        <f t="shared" si="47"/>
        <v>0.11208094069507063</v>
      </c>
      <c r="AO88">
        <f t="shared" si="48"/>
        <v>0.13567240227663629</v>
      </c>
      <c r="AP88">
        <f t="shared" si="49"/>
        <v>0.11926347506429488</v>
      </c>
      <c r="AQ88">
        <f t="shared" si="50"/>
        <v>0.16074076456327191</v>
      </c>
      <c r="AR88">
        <f t="shared" si="51"/>
        <v>0.12237505981775712</v>
      </c>
    </row>
    <row r="89" spans="18:44" x14ac:dyDescent="0.3">
      <c r="R89">
        <v>12</v>
      </c>
      <c r="S89">
        <v>8</v>
      </c>
      <c r="T89">
        <f t="shared" si="52"/>
        <v>7.1819814502088253</v>
      </c>
      <c r="Y89">
        <v>36</v>
      </c>
      <c r="Z89">
        <f t="shared" si="53"/>
        <v>2.2837134318846521</v>
      </c>
      <c r="AA89">
        <f t="shared" si="34"/>
        <v>1.3507200639719358E-2</v>
      </c>
      <c r="AB89">
        <f t="shared" si="35"/>
        <v>3.0889854626937826E-2</v>
      </c>
      <c r="AC89">
        <f t="shared" si="36"/>
        <v>3.7933633052803159E-2</v>
      </c>
      <c r="AD89">
        <f t="shared" si="37"/>
        <v>0.16365284233490673</v>
      </c>
      <c r="AE89">
        <f t="shared" si="38"/>
        <v>0.21207397486322807</v>
      </c>
      <c r="AF89">
        <f t="shared" si="39"/>
        <v>0.15549886360422135</v>
      </c>
      <c r="AG89">
        <f t="shared" si="40"/>
        <v>0.16353682402108533</v>
      </c>
      <c r="AH89">
        <f t="shared" si="41"/>
        <v>0.16611646129759222</v>
      </c>
      <c r="AI89">
        <f t="shared" si="42"/>
        <v>0.13324357752468774</v>
      </c>
      <c r="AJ89">
        <f t="shared" si="43"/>
        <v>0.14414549291092404</v>
      </c>
      <c r="AK89">
        <f t="shared" si="44"/>
        <v>0.17924638620177746</v>
      </c>
      <c r="AL89">
        <f t="shared" si="45"/>
        <v>0.23619934424251093</v>
      </c>
      <c r="AM89">
        <f t="shared" si="46"/>
        <v>0.14912924696004939</v>
      </c>
      <c r="AN89">
        <f t="shared" si="47"/>
        <v>9.3623627050925959E-2</v>
      </c>
      <c r="AO89">
        <f t="shared" si="48"/>
        <v>0.11407904858540198</v>
      </c>
      <c r="AP89">
        <f t="shared" si="49"/>
        <v>9.9831800313523691E-2</v>
      </c>
      <c r="AQ89">
        <f t="shared" si="50"/>
        <v>0.13597599525911314</v>
      </c>
      <c r="AR89">
        <f t="shared" si="51"/>
        <v>0.10251782403792283</v>
      </c>
    </row>
    <row r="90" spans="18:44" x14ac:dyDescent="0.3">
      <c r="R90">
        <v>13</v>
      </c>
      <c r="S90">
        <v>8</v>
      </c>
      <c r="T90">
        <f t="shared" si="52"/>
        <v>6.0165944895358212</v>
      </c>
      <c r="Y90">
        <v>37</v>
      </c>
      <c r="Z90">
        <f t="shared" si="53"/>
        <v>2.0934039792275971</v>
      </c>
      <c r="AA90">
        <f t="shared" si="34"/>
        <v>1.0678379708599127E-2</v>
      </c>
      <c r="AB90">
        <f t="shared" si="35"/>
        <v>2.5016092857421113E-2</v>
      </c>
      <c r="AC90">
        <f t="shared" si="36"/>
        <v>3.0906643039903248E-2</v>
      </c>
      <c r="AD90">
        <f t="shared" si="37"/>
        <v>0.13925453247297181</v>
      </c>
      <c r="AE90">
        <f t="shared" si="38"/>
        <v>0.18186539828604845</v>
      </c>
      <c r="AF90">
        <f t="shared" si="39"/>
        <v>0.13210105319196272</v>
      </c>
      <c r="AG90">
        <f t="shared" si="40"/>
        <v>0.13914405994148496</v>
      </c>
      <c r="AH90">
        <f t="shared" si="41"/>
        <v>0.14140735622303047</v>
      </c>
      <c r="AI90">
        <f t="shared" si="42"/>
        <v>0.11264525874800622</v>
      </c>
      <c r="AJ90">
        <f t="shared" si="43"/>
        <v>0.12216485161851205</v>
      </c>
      <c r="AK90">
        <f t="shared" si="44"/>
        <v>0.15297354689418849</v>
      </c>
      <c r="AL90">
        <f t="shared" si="45"/>
        <v>0.20338084332338399</v>
      </c>
      <c r="AM90">
        <f t="shared" si="46"/>
        <v>0.12649743149472514</v>
      </c>
      <c r="AN90">
        <f t="shared" si="47"/>
        <v>7.8205834888717879E-2</v>
      </c>
      <c r="AO90">
        <f t="shared" si="48"/>
        <v>9.5922450754685251E-2</v>
      </c>
      <c r="AP90">
        <f t="shared" si="49"/>
        <v>8.3566140836214969E-2</v>
      </c>
      <c r="AQ90">
        <f t="shared" si="50"/>
        <v>0.11502664763939464</v>
      </c>
      <c r="AR90">
        <f t="shared" si="51"/>
        <v>8.5882730199454194E-2</v>
      </c>
    </row>
    <row r="91" spans="18:44" x14ac:dyDescent="0.3">
      <c r="R91">
        <v>14</v>
      </c>
      <c r="S91">
        <v>8</v>
      </c>
      <c r="T91">
        <f t="shared" si="52"/>
        <v>5.0403094887498332</v>
      </c>
      <c r="Y91">
        <v>38</v>
      </c>
      <c r="Z91">
        <f t="shared" si="53"/>
        <v>1.9189536476252969</v>
      </c>
      <c r="AA91">
        <f t="shared" si="34"/>
        <v>8.44200039982459E-3</v>
      </c>
      <c r="AB91">
        <f t="shared" si="35"/>
        <v>2.0259237520184933E-2</v>
      </c>
      <c r="AC91">
        <f t="shared" si="36"/>
        <v>2.5181363004865485E-2</v>
      </c>
      <c r="AD91">
        <f t="shared" si="37"/>
        <v>0.11849366340110135</v>
      </c>
      <c r="AE91">
        <f t="shared" si="38"/>
        <v>0.15595983955633375</v>
      </c>
      <c r="AF91">
        <f t="shared" si="39"/>
        <v>0.11222389572467605</v>
      </c>
      <c r="AG91">
        <f t="shared" si="40"/>
        <v>0.11838966259063023</v>
      </c>
      <c r="AH91">
        <f t="shared" si="41"/>
        <v>0.12037362364807891</v>
      </c>
      <c r="AI91">
        <f t="shared" si="42"/>
        <v>9.5231264081409306E-2</v>
      </c>
      <c r="AJ91">
        <f t="shared" si="43"/>
        <v>0.10353602231736542</v>
      </c>
      <c r="AK91">
        <f t="shared" si="44"/>
        <v>0.130551619729985</v>
      </c>
      <c r="AL91">
        <f t="shared" si="45"/>
        <v>0.17512227886823356</v>
      </c>
      <c r="AM91">
        <f t="shared" si="46"/>
        <v>0.10730021441769504</v>
      </c>
      <c r="AN91">
        <f t="shared" si="47"/>
        <v>6.5327020574780348E-2</v>
      </c>
      <c r="AO91">
        <f t="shared" si="48"/>
        <v>8.0655621456177093E-2</v>
      </c>
      <c r="AP91">
        <f t="shared" si="49"/>
        <v>6.9950655726200739E-2</v>
      </c>
      <c r="AQ91">
        <f t="shared" si="50"/>
        <v>9.7304892984562963E-2</v>
      </c>
      <c r="AR91">
        <f t="shared" si="51"/>
        <v>7.1946936210661477E-2</v>
      </c>
    </row>
    <row r="92" spans="18:44" x14ac:dyDescent="0.3">
      <c r="R92">
        <v>15</v>
      </c>
      <c r="S92">
        <v>3</v>
      </c>
      <c r="T92">
        <f t="shared" si="52"/>
        <v>4.2224417461681982</v>
      </c>
      <c r="Y92">
        <v>39</v>
      </c>
      <c r="Z92">
        <f t="shared" si="53"/>
        <v>1.7590408436565212</v>
      </c>
      <c r="AA92">
        <f t="shared" si="34"/>
        <v>6.6739873178744595E-3</v>
      </c>
      <c r="AB92">
        <f t="shared" si="35"/>
        <v>1.6406906835473738E-2</v>
      </c>
      <c r="AC92">
        <f t="shared" si="36"/>
        <v>2.0516658569619699E-2</v>
      </c>
      <c r="AD92">
        <f t="shared" si="37"/>
        <v>0.10082794446161887</v>
      </c>
      <c r="AE92">
        <f t="shared" si="38"/>
        <v>0.1337443613995225</v>
      </c>
      <c r="AF92">
        <f t="shared" si="39"/>
        <v>9.533764089921129E-2</v>
      </c>
      <c r="AG92">
        <f t="shared" si="40"/>
        <v>0.10073094183264127</v>
      </c>
      <c r="AH92">
        <f t="shared" si="41"/>
        <v>0.10246856781139257</v>
      </c>
      <c r="AI92">
        <f t="shared" si="42"/>
        <v>8.0509324221367973E-2</v>
      </c>
      <c r="AJ92">
        <f t="shared" si="43"/>
        <v>8.7747889636675222E-2</v>
      </c>
      <c r="AK92">
        <f t="shared" si="44"/>
        <v>0.11141616155315874</v>
      </c>
      <c r="AL92">
        <f t="shared" si="45"/>
        <v>0.15079007469371275</v>
      </c>
      <c r="AM92">
        <f t="shared" si="46"/>
        <v>9.1016361976989382E-2</v>
      </c>
      <c r="AN92">
        <f t="shared" si="47"/>
        <v>5.4569069216514818E-2</v>
      </c>
      <c r="AO92">
        <f t="shared" si="48"/>
        <v>6.7818630792900111E-2</v>
      </c>
      <c r="AP92">
        <f t="shared" si="49"/>
        <v>5.8553550368152706E-2</v>
      </c>
      <c r="AQ92">
        <f t="shared" si="50"/>
        <v>8.2313467296899187E-2</v>
      </c>
      <c r="AR92">
        <f t="shared" si="51"/>
        <v>6.0272439151379961E-2</v>
      </c>
    </row>
    <row r="93" spans="18:44" x14ac:dyDescent="0.3">
      <c r="R93">
        <v>16</v>
      </c>
      <c r="S93">
        <v>2</v>
      </c>
      <c r="T93">
        <f t="shared" si="52"/>
        <v>3.5372856249361262</v>
      </c>
      <c r="Y93">
        <v>40</v>
      </c>
      <c r="Z93">
        <f t="shared" si="53"/>
        <v>1.6124541066851441</v>
      </c>
      <c r="AA93">
        <f t="shared" si="34"/>
        <v>5.2762502498903728E-3</v>
      </c>
      <c r="AB93">
        <f t="shared" si="35"/>
        <v>1.3287103803374412E-2</v>
      </c>
      <c r="AC93">
        <f t="shared" si="36"/>
        <v>1.6716064129690598E-2</v>
      </c>
      <c r="AD93">
        <f t="shared" si="37"/>
        <v>8.5795932816613463E-2</v>
      </c>
      <c r="AE93">
        <f t="shared" si="38"/>
        <v>0.11469333552183462</v>
      </c>
      <c r="AF93">
        <f t="shared" si="39"/>
        <v>8.0992249587610837E-2</v>
      </c>
      <c r="AG93">
        <f t="shared" si="40"/>
        <v>8.5706153902781745E-2</v>
      </c>
      <c r="AH93">
        <f t="shared" si="41"/>
        <v>8.7226811581371869E-2</v>
      </c>
      <c r="AI93">
        <f t="shared" si="42"/>
        <v>6.8063270493189734E-2</v>
      </c>
      <c r="AJ93">
        <f t="shared" si="43"/>
        <v>7.4367277816492938E-2</v>
      </c>
      <c r="AK93">
        <f t="shared" si="44"/>
        <v>9.5085461834285012E-2</v>
      </c>
      <c r="AL93">
        <f t="shared" si="45"/>
        <v>0.12983868627728307</v>
      </c>
      <c r="AM93">
        <f t="shared" si="46"/>
        <v>7.7203742718339269E-2</v>
      </c>
      <c r="AN93">
        <f t="shared" si="47"/>
        <v>4.5582720426505498E-2</v>
      </c>
      <c r="AO93">
        <f t="shared" si="48"/>
        <v>5.7024750409029885E-2</v>
      </c>
      <c r="AP93">
        <f t="shared" si="49"/>
        <v>4.9013382721323252E-2</v>
      </c>
      <c r="AQ93">
        <f t="shared" si="50"/>
        <v>6.9631718309505722E-2</v>
      </c>
      <c r="AR93">
        <f t="shared" si="51"/>
        <v>5.0492308812428312E-2</v>
      </c>
    </row>
    <row r="94" spans="18:44" x14ac:dyDescent="0.3">
      <c r="R94">
        <v>17</v>
      </c>
      <c r="S94">
        <v>4</v>
      </c>
      <c r="T94">
        <f t="shared" si="52"/>
        <v>2.9633066231723779</v>
      </c>
      <c r="Y94">
        <v>41</v>
      </c>
      <c r="Z94">
        <f t="shared" si="53"/>
        <v>1.4780829311280483</v>
      </c>
      <c r="AA94">
        <f t="shared" si="34"/>
        <v>4.1712420736715336E-3</v>
      </c>
      <c r="AB94">
        <f t="shared" si="35"/>
        <v>1.0760536964830586E-2</v>
      </c>
      <c r="AC94">
        <f t="shared" si="36"/>
        <v>1.3619508217663338E-2</v>
      </c>
      <c r="AD94">
        <f t="shared" si="37"/>
        <v>7.3004980188551435E-2</v>
      </c>
      <c r="AE94">
        <f t="shared" si="38"/>
        <v>9.8356006006329544E-2</v>
      </c>
      <c r="AF94">
        <f t="shared" si="39"/>
        <v>6.8805399749681806E-2</v>
      </c>
      <c r="AG94">
        <f t="shared" si="40"/>
        <v>7.2922427639081508E-2</v>
      </c>
      <c r="AH94">
        <f t="shared" si="41"/>
        <v>7.4252200661735351E-2</v>
      </c>
      <c r="AI94">
        <f t="shared" si="42"/>
        <v>5.7541270343933318E-2</v>
      </c>
      <c r="AJ94">
        <f t="shared" si="43"/>
        <v>6.3027065753202008E-2</v>
      </c>
      <c r="AK94">
        <f t="shared" si="44"/>
        <v>8.1148416227977083E-2</v>
      </c>
      <c r="AL94">
        <f t="shared" si="45"/>
        <v>0.11179836927896712</v>
      </c>
      <c r="AM94">
        <f t="shared" si="46"/>
        <v>6.5487322941191847E-2</v>
      </c>
      <c r="AN94">
        <f t="shared" si="47"/>
        <v>3.8076229470524657E-2</v>
      </c>
      <c r="AO94">
        <f t="shared" si="48"/>
        <v>4.7948802876046644E-2</v>
      </c>
      <c r="AP94">
        <f t="shared" si="49"/>
        <v>4.102760072928946E-2</v>
      </c>
      <c r="AQ94">
        <f t="shared" si="50"/>
        <v>5.8903802183983667E-2</v>
      </c>
      <c r="AR94">
        <f t="shared" si="51"/>
        <v>4.2299155055039034E-2</v>
      </c>
    </row>
    <row r="95" spans="18:44" x14ac:dyDescent="0.3">
      <c r="R95">
        <v>18</v>
      </c>
      <c r="S95">
        <v>2</v>
      </c>
      <c r="T95">
        <f t="shared" si="52"/>
        <v>2.4824645431610701</v>
      </c>
      <c r="Y95">
        <v>42</v>
      </c>
      <c r="Z95">
        <f t="shared" si="53"/>
        <v>1.3549093535340437</v>
      </c>
      <c r="AA95">
        <f t="shared" si="34"/>
        <v>3.2976564061814794E-3</v>
      </c>
      <c r="AB95">
        <f t="shared" si="35"/>
        <v>8.7144013838500647E-3</v>
      </c>
      <c r="AC95">
        <f t="shared" si="36"/>
        <v>1.109657169605705E-2</v>
      </c>
      <c r="AD95">
        <f t="shared" si="37"/>
        <v>6.2120976570333913E-2</v>
      </c>
      <c r="AE95">
        <f t="shared" si="38"/>
        <v>8.4345824223374041E-2</v>
      </c>
      <c r="AF95">
        <f t="shared" si="39"/>
        <v>5.8452297087914058E-2</v>
      </c>
      <c r="AG95">
        <f t="shared" si="40"/>
        <v>6.2045491608560904E-2</v>
      </c>
      <c r="AH95">
        <f t="shared" si="41"/>
        <v>6.3207506994191781E-2</v>
      </c>
      <c r="AI95">
        <f t="shared" si="42"/>
        <v>4.864588152761351E-2</v>
      </c>
      <c r="AJ95">
        <f t="shared" si="43"/>
        <v>5.3416114373053804E-2</v>
      </c>
      <c r="AK95">
        <f t="shared" si="44"/>
        <v>6.9254177550144E-2</v>
      </c>
      <c r="AL95">
        <f t="shared" si="45"/>
        <v>9.6264647554610588E-2</v>
      </c>
      <c r="AM95">
        <f t="shared" si="46"/>
        <v>5.554898396117814E-2</v>
      </c>
      <c r="AN95">
        <f t="shared" si="47"/>
        <v>3.1805895679912502E-2</v>
      </c>
      <c r="AO95">
        <f t="shared" si="48"/>
        <v>4.0317365367756521E-2</v>
      </c>
      <c r="AP95">
        <f t="shared" si="49"/>
        <v>3.4342947336905356E-2</v>
      </c>
      <c r="AQ95">
        <f t="shared" si="50"/>
        <v>4.9828698701755582E-2</v>
      </c>
      <c r="AR95">
        <f t="shared" si="51"/>
        <v>3.5435466518612256E-2</v>
      </c>
    </row>
    <row r="96" spans="18:44" x14ac:dyDescent="0.3">
      <c r="R96">
        <v>19</v>
      </c>
      <c r="S96">
        <v>4</v>
      </c>
      <c r="T96">
        <f t="shared" si="52"/>
        <v>2.0796464867528557</v>
      </c>
      <c r="Y96">
        <v>43</v>
      </c>
      <c r="Z96">
        <f t="shared" si="53"/>
        <v>1.2420002407395396</v>
      </c>
      <c r="AA96">
        <f t="shared" si="34"/>
        <v>2.6070262960447097E-3</v>
      </c>
      <c r="AB96">
        <f t="shared" si="35"/>
        <v>7.0573421872022436E-3</v>
      </c>
      <c r="AC96">
        <f t="shared" si="36"/>
        <v>9.0409948316665569E-3</v>
      </c>
      <c r="AD96">
        <f t="shared" si="37"/>
        <v>5.2859623002228309E-2</v>
      </c>
      <c r="AE96">
        <f t="shared" si="38"/>
        <v>7.2331302914663775E-2</v>
      </c>
      <c r="AF96">
        <f t="shared" si="39"/>
        <v>4.9657018886363889E-2</v>
      </c>
      <c r="AG96">
        <f t="shared" si="40"/>
        <v>5.2790933510897753E-2</v>
      </c>
      <c r="AH96">
        <f t="shared" si="41"/>
        <v>5.3805663735427278E-2</v>
      </c>
      <c r="AI96">
        <f t="shared" si="42"/>
        <v>4.1125643828405771E-2</v>
      </c>
      <c r="AJ96">
        <f t="shared" si="43"/>
        <v>4.5270729973181482E-2</v>
      </c>
      <c r="AK96">
        <f t="shared" si="44"/>
        <v>5.9103323651723105E-2</v>
      </c>
      <c r="AL96">
        <f t="shared" si="45"/>
        <v>8.2889244526367117E-2</v>
      </c>
      <c r="AM96">
        <f t="shared" si="46"/>
        <v>4.7118884702161426E-2</v>
      </c>
      <c r="AN96">
        <f t="shared" si="47"/>
        <v>2.6568150630161057E-2</v>
      </c>
      <c r="AO96">
        <f t="shared" si="48"/>
        <v>3.3900532499200366E-2</v>
      </c>
      <c r="AP96">
        <f t="shared" si="49"/>
        <v>2.8747428824017464E-2</v>
      </c>
      <c r="AQ96">
        <f t="shared" si="50"/>
        <v>4.2151764780057839E-2</v>
      </c>
      <c r="AR96">
        <f t="shared" si="51"/>
        <v>2.9685517021742585E-2</v>
      </c>
    </row>
    <row r="97" spans="18:44" x14ac:dyDescent="0.3">
      <c r="R97">
        <v>20</v>
      </c>
      <c r="S97">
        <v>1</v>
      </c>
      <c r="T97">
        <f>$AI$49*EXP($AJ$49*R97)</f>
        <v>1.742191855983692</v>
      </c>
      <c r="Y97">
        <v>44</v>
      </c>
      <c r="Z97">
        <f t="shared" si="53"/>
        <v>1.1385002206779109</v>
      </c>
      <c r="AA97">
        <f t="shared" si="34"/>
        <v>2.0610352538634261E-3</v>
      </c>
      <c r="AB97">
        <f t="shared" si="35"/>
        <v>5.7153757961582305E-3</v>
      </c>
      <c r="AC97">
        <f t="shared" si="36"/>
        <v>7.3662019031757306E-3</v>
      </c>
      <c r="AD97">
        <f t="shared" si="37"/>
        <v>4.4979005453562974E-2</v>
      </c>
      <c r="AE97">
        <f t="shared" si="38"/>
        <v>6.2028173054274376E-2</v>
      </c>
      <c r="AF97">
        <f t="shared" si="39"/>
        <v>4.2185160336334245E-2</v>
      </c>
      <c r="AG97">
        <f t="shared" si="40"/>
        <v>4.4916763308673655E-2</v>
      </c>
      <c r="AH97">
        <f t="shared" si="41"/>
        <v>4.5802303993351674E-2</v>
      </c>
      <c r="AI97">
        <f t="shared" si="42"/>
        <v>3.4767970631610898E-2</v>
      </c>
      <c r="AJ97">
        <f t="shared" si="43"/>
        <v>3.8367429311529415E-2</v>
      </c>
      <c r="AK97">
        <f t="shared" si="44"/>
        <v>5.0440319851478309E-2</v>
      </c>
      <c r="AL97">
        <f t="shared" si="45"/>
        <v>7.1372274585581305E-2</v>
      </c>
      <c r="AM97">
        <f t="shared" si="46"/>
        <v>3.996813509905451E-2</v>
      </c>
      <c r="AN97">
        <f t="shared" si="47"/>
        <v>2.219294922584835E-2</v>
      </c>
      <c r="AO97">
        <f t="shared" si="48"/>
        <v>2.8504990175981106E-2</v>
      </c>
      <c r="AP97">
        <f t="shared" si="49"/>
        <v>2.4063591743736994E-2</v>
      </c>
      <c r="AQ97">
        <f t="shared" si="50"/>
        <v>3.5657589308282021E-2</v>
      </c>
      <c r="AR97">
        <f t="shared" si="51"/>
        <v>2.4868585274171809E-2</v>
      </c>
    </row>
    <row r="98" spans="18:44" x14ac:dyDescent="0.3">
      <c r="Y98">
        <v>45</v>
      </c>
      <c r="Z98">
        <f t="shared" si="53"/>
        <v>1.0436252022880848</v>
      </c>
      <c r="AA98">
        <f t="shared" si="34"/>
        <v>1.6293914350279423E-3</v>
      </c>
      <c r="AB98">
        <f t="shared" si="35"/>
        <v>4.6285867433985065E-3</v>
      </c>
      <c r="AC98">
        <f t="shared" si="36"/>
        <v>6.0016548497846727E-3</v>
      </c>
      <c r="AD98">
        <f t="shared" si="37"/>
        <v>3.8273275832980513E-2</v>
      </c>
      <c r="AE98">
        <f t="shared" si="38"/>
        <v>5.3192657914516855E-2</v>
      </c>
      <c r="AF98">
        <f t="shared" si="39"/>
        <v>3.5837587364530951E-2</v>
      </c>
      <c r="AG98">
        <f t="shared" si="40"/>
        <v>3.8217085623441976E-2</v>
      </c>
      <c r="AH98">
        <f t="shared" si="41"/>
        <v>3.8989409394054368E-2</v>
      </c>
      <c r="AI98">
        <f t="shared" si="42"/>
        <v>2.9393139397020773E-2</v>
      </c>
      <c r="AJ98">
        <f t="shared" si="43"/>
        <v>3.2516807942952558E-2</v>
      </c>
      <c r="AK98">
        <f t="shared" si="44"/>
        <v>4.3047086179311037E-2</v>
      </c>
      <c r="AL98">
        <f t="shared" si="45"/>
        <v>6.1455519454025304E-2</v>
      </c>
      <c r="AM98">
        <f t="shared" si="46"/>
        <v>3.3902581383107235E-2</v>
      </c>
      <c r="AN98">
        <f t="shared" si="47"/>
        <v>1.8538249131347138E-2</v>
      </c>
      <c r="AO98">
        <f t="shared" si="48"/>
        <v>2.3968191796159711E-2</v>
      </c>
      <c r="AP98">
        <f t="shared" si="49"/>
        <v>2.0142895253486653E-2</v>
      </c>
      <c r="AQ98">
        <f t="shared" si="50"/>
        <v>3.0163948814775163E-2</v>
      </c>
      <c r="AR98">
        <f t="shared" si="51"/>
        <v>2.0833274794768965E-2</v>
      </c>
    </row>
    <row r="99" spans="18:44" x14ac:dyDescent="0.3">
      <c r="Y99">
        <v>46</v>
      </c>
      <c r="Z99">
        <f t="shared" si="53"/>
        <v>0.95665643543074386</v>
      </c>
      <c r="AA99">
        <f t="shared" si="34"/>
        <v>1.2881470336646402E-3</v>
      </c>
      <c r="AB99">
        <f t="shared" si="35"/>
        <v>3.7484525961643893E-3</v>
      </c>
      <c r="AC99">
        <f t="shared" si="36"/>
        <v>4.889882385712906E-3</v>
      </c>
      <c r="AD99">
        <f t="shared" si="37"/>
        <v>3.2567275070137722E-2</v>
      </c>
      <c r="AE99">
        <f t="shared" si="38"/>
        <v>4.5615705197943661E-2</v>
      </c>
      <c r="AF99">
        <f t="shared" si="39"/>
        <v>3.0445129469004E-2</v>
      </c>
      <c r="AG99">
        <f t="shared" si="40"/>
        <v>3.2516715942162662E-2</v>
      </c>
      <c r="AH99">
        <f t="shared" si="41"/>
        <v>3.3189903396952061E-2</v>
      </c>
      <c r="AI99">
        <f t="shared" si="42"/>
        <v>2.4849211153761985E-2</v>
      </c>
      <c r="AJ99">
        <f t="shared" si="43"/>
        <v>2.7558343568280973E-2</v>
      </c>
      <c r="AK99">
        <f t="shared" si="44"/>
        <v>3.6737507493714343E-2</v>
      </c>
      <c r="AL99">
        <f t="shared" si="45"/>
        <v>5.291663875494694E-2</v>
      </c>
      <c r="AM99">
        <f t="shared" si="46"/>
        <v>2.8757534510670684E-2</v>
      </c>
      <c r="AN99">
        <f t="shared" si="47"/>
        <v>1.5485399320231867E-2</v>
      </c>
      <c r="AO99">
        <f t="shared" si="48"/>
        <v>2.0153461356445617E-2</v>
      </c>
      <c r="AP99">
        <f t="shared" si="49"/>
        <v>1.68610003657719E-2</v>
      </c>
      <c r="AQ99">
        <f t="shared" si="50"/>
        <v>2.5516694362987879E-2</v>
      </c>
      <c r="AR99">
        <f t="shared" si="51"/>
        <v>1.7452755510186942E-2</v>
      </c>
    </row>
    <row r="100" spans="18:44" x14ac:dyDescent="0.3">
      <c r="Y100">
        <v>47</v>
      </c>
      <c r="Z100">
        <f t="shared" si="53"/>
        <v>0.87693506581151492</v>
      </c>
      <c r="AA100">
        <f t="shared" si="34"/>
        <v>1.0183696468924646E-3</v>
      </c>
      <c r="AB100">
        <f t="shared" si="35"/>
        <v>3.0356775501143045E-3</v>
      </c>
      <c r="AC100">
        <f t="shared" si="36"/>
        <v>3.9840594543625275E-3</v>
      </c>
      <c r="AD100">
        <f t="shared" si="37"/>
        <v>2.7711957819405143E-2</v>
      </c>
      <c r="AE100">
        <f t="shared" si="38"/>
        <v>3.9118040765130403E-2</v>
      </c>
      <c r="AF100">
        <f t="shared" si="39"/>
        <v>2.5864071120529446E-2</v>
      </c>
      <c r="AG100">
        <f t="shared" si="40"/>
        <v>2.7666599857492417E-2</v>
      </c>
      <c r="AH100">
        <f t="shared" si="41"/>
        <v>2.8253048830921584E-2</v>
      </c>
      <c r="AI100">
        <f t="shared" si="42"/>
        <v>2.100773539783355E-2</v>
      </c>
      <c r="AJ100">
        <f t="shared" si="43"/>
        <v>2.3355991816903232E-2</v>
      </c>
      <c r="AK100">
        <f t="shared" si="44"/>
        <v>3.1352748272643186E-2</v>
      </c>
      <c r="AL100">
        <f t="shared" si="45"/>
        <v>4.5564184991005605E-2</v>
      </c>
      <c r="AM100">
        <f t="shared" si="46"/>
        <v>2.4393298604232137E-2</v>
      </c>
      <c r="AN100">
        <f t="shared" si="47"/>
        <v>1.2935288031141697E-2</v>
      </c>
      <c r="AO100">
        <f t="shared" si="48"/>
        <v>1.6945875938410338E-2</v>
      </c>
      <c r="AP100">
        <f t="shared" si="49"/>
        <v>1.4113826724355853E-2</v>
      </c>
      <c r="AQ100">
        <f t="shared" si="50"/>
        <v>2.1585426205709798E-2</v>
      </c>
      <c r="AR100">
        <f t="shared" si="51"/>
        <v>1.4620777477328838E-2</v>
      </c>
    </row>
    <row r="101" spans="18:44" x14ac:dyDescent="0.3">
      <c r="Y101">
        <v>48</v>
      </c>
      <c r="Z101">
        <f t="shared" si="53"/>
        <v>0.80385714366055505</v>
      </c>
      <c r="AA101">
        <f t="shared" si="34"/>
        <v>8.050918960404007E-4</v>
      </c>
      <c r="AB101">
        <f t="shared" si="35"/>
        <v>2.4584379692296483E-3</v>
      </c>
      <c r="AC101">
        <f t="shared" si="36"/>
        <v>3.2460350748459402E-3</v>
      </c>
      <c r="AD101">
        <f t="shared" si="37"/>
        <v>2.3580499275134541E-2</v>
      </c>
      <c r="AE101">
        <f t="shared" si="38"/>
        <v>3.3545926927188753E-2</v>
      </c>
      <c r="AF101">
        <f t="shared" si="39"/>
        <v>2.1972321569821516E-2</v>
      </c>
      <c r="AG101">
        <f t="shared" si="40"/>
        <v>2.3539915563308571E-2</v>
      </c>
      <c r="AH101">
        <f t="shared" si="41"/>
        <v>2.4050530027024546E-2</v>
      </c>
      <c r="AI101">
        <f t="shared" si="42"/>
        <v>1.7760118975791925E-2</v>
      </c>
      <c r="AJ101">
        <f t="shared" si="43"/>
        <v>1.9794453625257467E-2</v>
      </c>
      <c r="AK101">
        <f t="shared" si="44"/>
        <v>2.6757254133692038E-2</v>
      </c>
      <c r="AL101">
        <f t="shared" si="45"/>
        <v>3.9233311161519936E-2</v>
      </c>
      <c r="AM101">
        <f t="shared" si="46"/>
        <v>2.0691377996067149E-2</v>
      </c>
      <c r="AN101">
        <f t="shared" si="47"/>
        <v>1.0805125072234339E-2</v>
      </c>
      <c r="AO101">
        <f t="shared" si="48"/>
        <v>1.4248803530126716E-2</v>
      </c>
      <c r="AP101">
        <f t="shared" si="49"/>
        <v>1.1814251852429855E-2</v>
      </c>
      <c r="AQ101">
        <f t="shared" si="50"/>
        <v>1.8259834830250558E-2</v>
      </c>
      <c r="AR101">
        <f t="shared" si="51"/>
        <v>1.224833144065951E-2</v>
      </c>
    </row>
    <row r="102" spans="18:44" x14ac:dyDescent="0.3">
      <c r="Y102">
        <v>49</v>
      </c>
      <c r="Z102">
        <f t="shared" si="53"/>
        <v>0.73686904835550848</v>
      </c>
      <c r="AA102">
        <f t="shared" si="34"/>
        <v>6.3648102930779083E-4</v>
      </c>
      <c r="AB102">
        <f t="shared" si="35"/>
        <v>1.9909615394831451E-3</v>
      </c>
      <c r="AC102">
        <f t="shared" si="36"/>
        <v>2.6447255187400428E-3</v>
      </c>
      <c r="AD102">
        <f t="shared" si="37"/>
        <v>2.0064982405366423E-2</v>
      </c>
      <c r="AE102">
        <f t="shared" si="38"/>
        <v>2.8767524942286977E-2</v>
      </c>
      <c r="AF102">
        <f t="shared" si="39"/>
        <v>1.8666160981301878E-2</v>
      </c>
      <c r="AG102">
        <f t="shared" si="40"/>
        <v>2.002875769273953E-2</v>
      </c>
      <c r="AH102">
        <f t="shared" si="41"/>
        <v>2.0473117717042563E-2</v>
      </c>
      <c r="AI102">
        <f t="shared" si="42"/>
        <v>1.5014556307997508E-2</v>
      </c>
      <c r="AJ102">
        <f t="shared" si="43"/>
        <v>1.677601180005981E-2</v>
      </c>
      <c r="AK102">
        <f t="shared" si="44"/>
        <v>2.2835339426996313E-2</v>
      </c>
      <c r="AL102">
        <f t="shared" si="45"/>
        <v>3.3782074780894122E-2</v>
      </c>
      <c r="AM102">
        <f t="shared" si="46"/>
        <v>1.7551259889954065E-2</v>
      </c>
      <c r="AN102">
        <f t="shared" si="47"/>
        <v>9.025754010699244E-3</v>
      </c>
      <c r="AO102">
        <f t="shared" si="48"/>
        <v>1.1980991881331884E-2</v>
      </c>
      <c r="AP102">
        <f t="shared" si="49"/>
        <v>9.8893481944041985E-3</v>
      </c>
      <c r="AQ102">
        <f t="shared" si="50"/>
        <v>1.5446605726035369E-2</v>
      </c>
      <c r="AR102">
        <f t="shared" si="51"/>
        <v>1.0260851265459288E-2</v>
      </c>
    </row>
    <row r="103" spans="18:44" x14ac:dyDescent="0.3">
      <c r="Y103">
        <v>50</v>
      </c>
      <c r="Z103">
        <f t="shared" si="53"/>
        <v>0.67546329432588259</v>
      </c>
      <c r="AA103">
        <f t="shared" si="34"/>
        <v>5.0318243502524989E-4</v>
      </c>
      <c r="AB103">
        <f t="shared" si="35"/>
        <v>1.612376599009001E-3</v>
      </c>
      <c r="AC103">
        <f t="shared" si="36"/>
        <v>2.1548051417179296E-3</v>
      </c>
      <c r="AD103">
        <f t="shared" si="37"/>
        <v>1.7073579071848002E-2</v>
      </c>
      <c r="AE103">
        <f t="shared" si="38"/>
        <v>2.4669775651194291E-2</v>
      </c>
      <c r="AF103">
        <f t="shared" si="39"/>
        <v>1.5857476173952952E-2</v>
      </c>
      <c r="AG103">
        <f t="shared" si="40"/>
        <v>1.7041315787034644E-2</v>
      </c>
      <c r="AH103">
        <f t="shared" si="41"/>
        <v>1.7427830013929113E-2</v>
      </c>
      <c r="AI103">
        <f t="shared" si="42"/>
        <v>1.2693434173121909E-2</v>
      </c>
      <c r="AJ103">
        <f t="shared" si="43"/>
        <v>1.4217849971703111E-2</v>
      </c>
      <c r="AK103">
        <f t="shared" si="44"/>
        <v>1.9488274997901699E-2</v>
      </c>
      <c r="AL103">
        <f t="shared" si="45"/>
        <v>2.9088255431808711E-2</v>
      </c>
      <c r="AM103">
        <f t="shared" si="46"/>
        <v>1.4887685285303922E-2</v>
      </c>
      <c r="AN103">
        <f t="shared" si="47"/>
        <v>7.5394069866891204E-3</v>
      </c>
      <c r="AO103">
        <f t="shared" si="48"/>
        <v>1.0074120690697999E-2</v>
      </c>
      <c r="AP103">
        <f t="shared" si="49"/>
        <v>8.2780703282579193E-3</v>
      </c>
      <c r="AQ103">
        <f t="shared" si="50"/>
        <v>1.3066801023868551E-2</v>
      </c>
      <c r="AR103">
        <f t="shared" si="51"/>
        <v>8.5958703193133382E-3</v>
      </c>
    </row>
    <row r="104" spans="18:44" x14ac:dyDescent="0.3">
      <c r="Y104">
        <v>51</v>
      </c>
      <c r="Z104">
        <f t="shared" si="53"/>
        <v>0.61917468646539209</v>
      </c>
      <c r="AA104">
        <f t="shared" si="34"/>
        <v>3.9780064331736885E-4</v>
      </c>
      <c r="AB104">
        <f t="shared" si="35"/>
        <v>1.3057802702239722E-3</v>
      </c>
      <c r="AC104">
        <f t="shared" si="36"/>
        <v>1.7556397311831659E-3</v>
      </c>
      <c r="AD104">
        <f t="shared" si="37"/>
        <v>1.4528151404941273E-2</v>
      </c>
      <c r="AE104">
        <f t="shared" si="38"/>
        <v>2.1155724446271236E-2</v>
      </c>
      <c r="AF104">
        <f t="shared" si="39"/>
        <v>1.3471412298403257E-2</v>
      </c>
      <c r="AG104">
        <f t="shared" si="40"/>
        <v>1.4499473617313231E-2</v>
      </c>
      <c r="AH104">
        <f t="shared" si="41"/>
        <v>1.4835515684138998E-2</v>
      </c>
      <c r="AI104">
        <f t="shared" si="42"/>
        <v>1.0731137690799209E-2</v>
      </c>
      <c r="AJ104">
        <f t="shared" si="43"/>
        <v>1.2049780378500796E-2</v>
      </c>
      <c r="AK104">
        <f t="shared" si="44"/>
        <v>1.6631802807574782E-2</v>
      </c>
      <c r="AL104">
        <f t="shared" si="45"/>
        <v>2.5046614500560123E-2</v>
      </c>
      <c r="AM104">
        <f t="shared" si="46"/>
        <v>1.2628334065129894E-2</v>
      </c>
      <c r="AN104">
        <f t="shared" si="47"/>
        <v>6.2978292609741741E-3</v>
      </c>
      <c r="AO104">
        <f t="shared" si="48"/>
        <v>8.4707433821804481E-3</v>
      </c>
      <c r="AP104">
        <f t="shared" si="49"/>
        <v>6.9293190018690169E-3</v>
      </c>
      <c r="AQ104">
        <f t="shared" si="50"/>
        <v>1.1053644536908616E-2</v>
      </c>
      <c r="AR104">
        <f t="shared" si="51"/>
        <v>7.2010581417529824E-3</v>
      </c>
    </row>
    <row r="105" spans="18:44" x14ac:dyDescent="0.3">
      <c r="Y105">
        <v>52</v>
      </c>
      <c r="Z105">
        <f t="shared" si="53"/>
        <v>0.56757679592660926</v>
      </c>
      <c r="AA105">
        <f t="shared" si="34"/>
        <v>3.1448902189078144E-4</v>
      </c>
      <c r="AB105">
        <f t="shared" si="35"/>
        <v>1.0574837883123287E-3</v>
      </c>
      <c r="AC105">
        <f t="shared" si="36"/>
        <v>1.430417445194855E-3</v>
      </c>
      <c r="AD105">
        <f t="shared" si="37"/>
        <v>1.2362210779397623E-2</v>
      </c>
      <c r="AE105">
        <f t="shared" si="38"/>
        <v>1.814222728145853E-2</v>
      </c>
      <c r="AF105">
        <f t="shared" si="39"/>
        <v>1.1444377864597571E-2</v>
      </c>
      <c r="AG105">
        <f t="shared" si="40"/>
        <v>1.2336766585776959E-2</v>
      </c>
      <c r="AH105">
        <f t="shared" si="41"/>
        <v>1.2628796897744921E-2</v>
      </c>
      <c r="AI105">
        <f t="shared" si="42"/>
        <v>9.0721954806158352E-3</v>
      </c>
      <c r="AJ105">
        <f t="shared" si="43"/>
        <v>1.0212318139457065E-2</v>
      </c>
      <c r="AK105">
        <f t="shared" si="44"/>
        <v>1.4194014845328076E-2</v>
      </c>
      <c r="AL105">
        <f t="shared" si="45"/>
        <v>2.1566535655956329E-2</v>
      </c>
      <c r="AM105">
        <f t="shared" si="46"/>
        <v>1.071186139446019E-2</v>
      </c>
      <c r="AN105">
        <f t="shared" si="47"/>
        <v>5.2607126091491424E-3</v>
      </c>
      <c r="AO105">
        <f t="shared" si="48"/>
        <v>7.122556464209116E-3</v>
      </c>
      <c r="AP105">
        <f t="shared" si="49"/>
        <v>5.8003205971514918E-3</v>
      </c>
      <c r="AQ105">
        <f t="shared" si="50"/>
        <v>9.3506480526598292E-3</v>
      </c>
      <c r="AR105">
        <f t="shared" si="51"/>
        <v>6.0325756944468716E-3</v>
      </c>
    </row>
    <row r="106" spans="18:44" x14ac:dyDescent="0.3">
      <c r="Y106">
        <v>53</v>
      </c>
      <c r="Z106">
        <f t="shared" si="53"/>
        <v>0.52027872959939159</v>
      </c>
      <c r="AA106">
        <f t="shared" si="34"/>
        <v>2.4862540207335571E-4</v>
      </c>
      <c r="AB106">
        <f t="shared" si="35"/>
        <v>8.5640133186541722E-4</v>
      </c>
      <c r="AC106">
        <f t="shared" si="36"/>
        <v>1.1654407400195177E-3</v>
      </c>
      <c r="AD106">
        <f t="shared" si="37"/>
        <v>1.0519181077798836E-2</v>
      </c>
      <c r="AE106">
        <f t="shared" si="38"/>
        <v>1.5557983446419401E-2</v>
      </c>
      <c r="AF106">
        <f t="shared" si="39"/>
        <v>9.7223499516242377E-3</v>
      </c>
      <c r="AG106">
        <f t="shared" si="40"/>
        <v>1.0496643796103886E-2</v>
      </c>
      <c r="AH106">
        <f t="shared" si="41"/>
        <v>1.0750317985575847E-2</v>
      </c>
      <c r="AI106">
        <f t="shared" si="42"/>
        <v>7.6697115636745403E-3</v>
      </c>
      <c r="AJ106">
        <f t="shared" si="43"/>
        <v>8.655049179780926E-3</v>
      </c>
      <c r="AK106">
        <f t="shared" si="44"/>
        <v>1.2113542937007164E-2</v>
      </c>
      <c r="AL106">
        <f t="shared" si="45"/>
        <v>1.8569993169705E-2</v>
      </c>
      <c r="AM106">
        <f t="shared" si="46"/>
        <v>9.0862321144136258E-3</v>
      </c>
      <c r="AN106">
        <f t="shared" si="47"/>
        <v>4.3943867020268933E-3</v>
      </c>
      <c r="AO106">
        <f t="shared" si="48"/>
        <v>5.9889443342797145E-3</v>
      </c>
      <c r="AP106">
        <f t="shared" si="49"/>
        <v>4.8552706291434006E-3</v>
      </c>
      <c r="AQ106">
        <f t="shared" si="50"/>
        <v>7.9100263006253516E-3</v>
      </c>
      <c r="AR106">
        <f t="shared" si="51"/>
        <v>5.0536974973475375E-3</v>
      </c>
    </row>
    <row r="107" spans="18:44" x14ac:dyDescent="0.3">
      <c r="Y107">
        <v>54</v>
      </c>
      <c r="Z107">
        <f t="shared" si="53"/>
        <v>0.47692216879944216</v>
      </c>
      <c r="AA107">
        <f t="shared" si="34"/>
        <v>1.965556386817382E-4</v>
      </c>
      <c r="AB107">
        <f t="shared" si="35"/>
        <v>6.9355506848133778E-4</v>
      </c>
      <c r="AC107">
        <f t="shared" si="36"/>
        <v>9.4954946408124712E-4</v>
      </c>
      <c r="AD107">
        <f t="shared" si="37"/>
        <v>8.95092087670365E-3</v>
      </c>
      <c r="AE107">
        <f t="shared" si="38"/>
        <v>1.3341848559379345E-2</v>
      </c>
      <c r="AF107">
        <f t="shared" si="39"/>
        <v>8.259434431490742E-3</v>
      </c>
      <c r="AG107">
        <f t="shared" si="40"/>
        <v>8.930989349292871E-3</v>
      </c>
      <c r="AH107">
        <f t="shared" si="41"/>
        <v>9.1512546861555848E-3</v>
      </c>
      <c r="AI107">
        <f t="shared" si="42"/>
        <v>6.4840396787801532E-3</v>
      </c>
      <c r="AJ107">
        <f t="shared" si="43"/>
        <v>7.3352470302505864E-3</v>
      </c>
      <c r="AK107">
        <f t="shared" si="44"/>
        <v>1.0338013880196471E-2</v>
      </c>
      <c r="AL107">
        <f t="shared" si="45"/>
        <v>1.5989802526658953E-2</v>
      </c>
      <c r="AM107">
        <f t="shared" si="46"/>
        <v>7.7073079081940313E-3</v>
      </c>
      <c r="AN107">
        <f t="shared" si="47"/>
        <v>3.6707259874578157E-3</v>
      </c>
      <c r="AO107">
        <f t="shared" si="48"/>
        <v>5.0357556895947835E-3</v>
      </c>
      <c r="AP107">
        <f t="shared" si="49"/>
        <v>4.0641982606615589E-3</v>
      </c>
      <c r="AQ107">
        <f t="shared" si="50"/>
        <v>6.6913561203693177E-3</v>
      </c>
      <c r="AR107">
        <f t="shared" si="51"/>
        <v>4.2336573444419195E-3</v>
      </c>
    </row>
    <row r="108" spans="18:44" x14ac:dyDescent="0.3">
      <c r="Y108">
        <v>55</v>
      </c>
      <c r="Z108">
        <f t="shared" si="53"/>
        <v>0.43717865473282175</v>
      </c>
      <c r="AA108">
        <f t="shared" si="34"/>
        <v>1.5539087629584718E-4</v>
      </c>
      <c r="AB108">
        <f t="shared" si="35"/>
        <v>5.6167431683974082E-4</v>
      </c>
      <c r="AC108">
        <f t="shared" si="36"/>
        <v>7.7365082048005604E-4</v>
      </c>
      <c r="AD108">
        <f t="shared" si="37"/>
        <v>7.6164659538092401E-3</v>
      </c>
      <c r="AE108">
        <f t="shared" si="38"/>
        <v>1.144138786330821E-2</v>
      </c>
      <c r="AF108">
        <f t="shared" si="39"/>
        <v>7.0166428350687052E-3</v>
      </c>
      <c r="AG108">
        <f t="shared" si="40"/>
        <v>7.5988641995062027E-3</v>
      </c>
      <c r="AH108">
        <f t="shared" si="41"/>
        <v>7.7900451357112745E-3</v>
      </c>
      <c r="AI108">
        <f t="shared" si="42"/>
        <v>5.4816625380176417E-3</v>
      </c>
      <c r="AJ108">
        <f t="shared" si="43"/>
        <v>6.2167005498358074E-3</v>
      </c>
      <c r="AK108">
        <f t="shared" si="44"/>
        <v>8.8227310162603753E-3</v>
      </c>
      <c r="AL108">
        <f t="shared" si="45"/>
        <v>1.3768114102414087E-2</v>
      </c>
      <c r="AM108">
        <f t="shared" si="46"/>
        <v>6.5376488784035158E-3</v>
      </c>
      <c r="AN108">
        <f t="shared" si="47"/>
        <v>3.0662365851378574E-3</v>
      </c>
      <c r="AO108">
        <f t="shared" si="48"/>
        <v>4.2342746817893269E-3</v>
      </c>
      <c r="AP108">
        <f t="shared" si="49"/>
        <v>3.4020158223144422E-3</v>
      </c>
      <c r="AQ108">
        <f t="shared" si="50"/>
        <v>5.6604422068816836E-3</v>
      </c>
      <c r="AR108">
        <f t="shared" si="51"/>
        <v>3.5466813198760734E-3</v>
      </c>
    </row>
    <row r="109" spans="18:44" x14ac:dyDescent="0.3">
      <c r="Y109">
        <v>56</v>
      </c>
      <c r="Z109">
        <f t="shared" si="53"/>
        <v>0.40074710017175319</v>
      </c>
      <c r="AA109">
        <f t="shared" si="34"/>
        <v>1.2284727417608647E-4</v>
      </c>
      <c r="AB109">
        <f t="shared" si="35"/>
        <v>4.5487092883364667E-4</v>
      </c>
      <c r="AC109">
        <f t="shared" si="36"/>
        <v>6.3033640128330466E-4</v>
      </c>
      <c r="AD109">
        <f t="shared" si="37"/>
        <v>6.4809592693996559E-3</v>
      </c>
      <c r="AE109">
        <f t="shared" si="38"/>
        <v>9.8116355957757802E-3</v>
      </c>
      <c r="AF109">
        <f t="shared" si="39"/>
        <v>5.9608532622051468E-3</v>
      </c>
      <c r="AG109">
        <f t="shared" si="40"/>
        <v>6.4654356717051666E-3</v>
      </c>
      <c r="AH109">
        <f t="shared" si="41"/>
        <v>6.6313096179287413E-3</v>
      </c>
      <c r="AI109">
        <f t="shared" si="42"/>
        <v>4.6342443398432482E-3</v>
      </c>
      <c r="AJ109">
        <f t="shared" si="43"/>
        <v>5.2687204080444586E-3</v>
      </c>
      <c r="AK109">
        <f t="shared" si="44"/>
        <v>7.5295490494933781E-3</v>
      </c>
      <c r="AL109">
        <f t="shared" si="45"/>
        <v>1.1855116135490019E-2</v>
      </c>
      <c r="AM109">
        <f t="shared" si="46"/>
        <v>5.5454969966686777E-3</v>
      </c>
      <c r="AN109">
        <f t="shared" si="47"/>
        <v>2.5612935501484182E-3</v>
      </c>
      <c r="AO109">
        <f t="shared" si="48"/>
        <v>3.5603558206543551E-3</v>
      </c>
      <c r="AP109">
        <f t="shared" si="49"/>
        <v>2.8477231948310245E-3</v>
      </c>
      <c r="AQ109">
        <f t="shared" si="50"/>
        <v>4.7883576066011591E-3</v>
      </c>
      <c r="AR109">
        <f t="shared" si="51"/>
        <v>2.9711777220874829E-3</v>
      </c>
    </row>
    <row r="110" spans="18:44" x14ac:dyDescent="0.3">
      <c r="Y110">
        <v>57</v>
      </c>
      <c r="Z110">
        <f t="shared" si="53"/>
        <v>0.36735150849077364</v>
      </c>
      <c r="AA110">
        <f t="shared" si="34"/>
        <v>9.7119297684904562E-5</v>
      </c>
      <c r="AB110">
        <f t="shared" si="35"/>
        <v>3.6837639837646366E-4</v>
      </c>
      <c r="AC110">
        <f t="shared" si="36"/>
        <v>5.1357016403891979E-4</v>
      </c>
      <c r="AD110">
        <f t="shared" si="37"/>
        <v>5.5147404723328766E-3</v>
      </c>
      <c r="AE110">
        <f t="shared" si="38"/>
        <v>8.414031078608936E-3</v>
      </c>
      <c r="AF110">
        <f t="shared" si="39"/>
        <v>5.0639276429970586E-3</v>
      </c>
      <c r="AG110">
        <f t="shared" si="40"/>
        <v>5.5010666498914468E-3</v>
      </c>
      <c r="AH110">
        <f t="shared" si="41"/>
        <v>5.6449309962591197E-3</v>
      </c>
      <c r="AI110">
        <f t="shared" si="42"/>
        <v>3.9178297555572845E-3</v>
      </c>
      <c r="AJ110">
        <f t="shared" si="43"/>
        <v>4.4652970680528229E-3</v>
      </c>
      <c r="AK110">
        <f t="shared" si="44"/>
        <v>6.4259137883994153E-3</v>
      </c>
      <c r="AL110">
        <f t="shared" si="45"/>
        <v>1.0207917913849436E-2</v>
      </c>
      <c r="AM110">
        <f t="shared" si="46"/>
        <v>4.7039138246854038E-3</v>
      </c>
      <c r="AN110">
        <f t="shared" si="47"/>
        <v>2.1395037427410194E-3</v>
      </c>
      <c r="AO110">
        <f t="shared" si="48"/>
        <v>2.9936965648885744E-3</v>
      </c>
      <c r="AP110">
        <f t="shared" si="49"/>
        <v>2.3837418218888738E-3</v>
      </c>
      <c r="AQ110">
        <f t="shared" si="50"/>
        <v>4.0506320408712892E-3</v>
      </c>
      <c r="AR110">
        <f t="shared" si="51"/>
        <v>2.4890584352070927E-3</v>
      </c>
    </row>
    <row r="111" spans="18:44" x14ac:dyDescent="0.3">
      <c r="Y111">
        <v>58</v>
      </c>
      <c r="Z111">
        <f t="shared" si="53"/>
        <v>0.33673888278320901</v>
      </c>
      <c r="AA111">
        <f t="shared" si="34"/>
        <v>7.6779546360053965E-5</v>
      </c>
      <c r="AB111">
        <f t="shared" si="35"/>
        <v>2.9832895944520356E-4</v>
      </c>
      <c r="AC111">
        <f t="shared" si="36"/>
        <v>4.1843420886685971E-4</v>
      </c>
      <c r="AD111">
        <f t="shared" si="37"/>
        <v>4.6925711477281661E-3</v>
      </c>
      <c r="AE111">
        <f t="shared" si="38"/>
        <v>7.2155063547485318E-3</v>
      </c>
      <c r="AF111">
        <f t="shared" si="39"/>
        <v>4.3019618241740337E-3</v>
      </c>
      <c r="AG111">
        <f t="shared" si="40"/>
        <v>4.6805406198661866E-3</v>
      </c>
      <c r="AH111">
        <f t="shared" si="41"/>
        <v>4.8052719279423417E-3</v>
      </c>
      <c r="AI111">
        <f t="shared" si="42"/>
        <v>3.3121667456250852E-3</v>
      </c>
      <c r="AJ111">
        <f t="shared" si="43"/>
        <v>3.7843871683754175E-3</v>
      </c>
      <c r="AK111">
        <f t="shared" si="44"/>
        <v>5.4840426358229227E-3</v>
      </c>
      <c r="AL111">
        <f t="shared" si="45"/>
        <v>8.7895881360407387E-3</v>
      </c>
      <c r="AM111">
        <f t="shared" si="46"/>
        <v>3.990049094492098E-3</v>
      </c>
      <c r="AN111">
        <f t="shared" si="47"/>
        <v>1.7871736197272556E-3</v>
      </c>
      <c r="AO111">
        <f t="shared" si="48"/>
        <v>2.5172256858806016E-3</v>
      </c>
      <c r="AP111">
        <f t="shared" si="49"/>
        <v>1.9953572326608291E-3</v>
      </c>
      <c r="AQ111">
        <f t="shared" si="50"/>
        <v>3.4265652815724961E-3</v>
      </c>
      <c r="AR111">
        <f t="shared" si="51"/>
        <v>2.0851704183897902E-3</v>
      </c>
    </row>
    <row r="112" spans="18:44" x14ac:dyDescent="0.3">
      <c r="Y112">
        <v>59</v>
      </c>
      <c r="Z112">
        <f t="shared" si="53"/>
        <v>0.30867730921794151</v>
      </c>
      <c r="AA112">
        <f t="shared" si="34"/>
        <v>6.069956105306529E-5</v>
      </c>
      <c r="AB112">
        <f t="shared" si="35"/>
        <v>2.4160116781614231E-4</v>
      </c>
      <c r="AC112">
        <f t="shared" si="36"/>
        <v>3.4092164890008389E-4</v>
      </c>
      <c r="AD112">
        <f t="shared" si="37"/>
        <v>3.9929755691976779E-3</v>
      </c>
      <c r="AE112">
        <f t="shared" si="38"/>
        <v>6.1877037853803529E-3</v>
      </c>
      <c r="AF112">
        <f t="shared" si="39"/>
        <v>3.654648494483138E-3</v>
      </c>
      <c r="AG112">
        <f t="shared" si="40"/>
        <v>3.9824023027697159E-3</v>
      </c>
      <c r="AH112">
        <f t="shared" si="41"/>
        <v>4.0905085140585011E-3</v>
      </c>
      <c r="AI112">
        <f t="shared" si="42"/>
        <v>2.8001340628095246E-3</v>
      </c>
      <c r="AJ112">
        <f t="shared" si="43"/>
        <v>3.2073087236746175E-3</v>
      </c>
      <c r="AK112">
        <f t="shared" si="44"/>
        <v>4.6802251978258777E-3</v>
      </c>
      <c r="AL112">
        <f t="shared" si="45"/>
        <v>7.5683268863683938E-3</v>
      </c>
      <c r="AM112">
        <f t="shared" si="46"/>
        <v>3.384520288809062E-3</v>
      </c>
      <c r="AN112">
        <f t="shared" si="47"/>
        <v>1.4928646691484868E-3</v>
      </c>
      <c r="AO112">
        <f t="shared" si="48"/>
        <v>2.1165889783131401E-3</v>
      </c>
      <c r="AP112">
        <f t="shared" si="49"/>
        <v>1.6702523945218972E-3</v>
      </c>
      <c r="AQ112">
        <f t="shared" si="50"/>
        <v>2.8986463125770523E-3</v>
      </c>
      <c r="AR112">
        <f t="shared" si="51"/>
        <v>1.7468194447456187E-3</v>
      </c>
    </row>
    <row r="113" spans="25:44" x14ac:dyDescent="0.3">
      <c r="Y113">
        <v>60</v>
      </c>
      <c r="Z113">
        <f t="shared" si="53"/>
        <v>0.28295420011644629</v>
      </c>
      <c r="AA113">
        <f t="shared" si="34"/>
        <v>4.7987216475033767E-5</v>
      </c>
      <c r="AB113">
        <f t="shared" si="35"/>
        <v>1.9566026844552826E-4</v>
      </c>
      <c r="AC113">
        <f t="shared" si="36"/>
        <v>2.7776785029957706E-4</v>
      </c>
      <c r="AD113">
        <f t="shared" si="37"/>
        <v>3.3976797355386888E-3</v>
      </c>
      <c r="AE113">
        <f t="shared" si="38"/>
        <v>5.3063050953330798E-3</v>
      </c>
      <c r="AF113">
        <f t="shared" si="39"/>
        <v>3.1047359702668386E-3</v>
      </c>
      <c r="AG113">
        <f t="shared" si="40"/>
        <v>3.3883966381556474E-3</v>
      </c>
      <c r="AH113">
        <f t="shared" si="41"/>
        <v>3.482063066251899E-3</v>
      </c>
      <c r="AI113">
        <f t="shared" si="42"/>
        <v>2.3672572584284017E-3</v>
      </c>
      <c r="AJ113">
        <f t="shared" si="43"/>
        <v>2.7182285509585614E-3</v>
      </c>
      <c r="AK113">
        <f t="shared" si="44"/>
        <v>3.9942264050391247E-3</v>
      </c>
      <c r="AL113">
        <f t="shared" si="45"/>
        <v>6.5167526592125541E-3</v>
      </c>
      <c r="AM113">
        <f t="shared" si="46"/>
        <v>2.8708863761031751E-3</v>
      </c>
      <c r="AN113">
        <f t="shared" si="47"/>
        <v>1.2470220552673239E-3</v>
      </c>
      <c r="AO113">
        <f t="shared" si="48"/>
        <v>1.7797168240595927E-3</v>
      </c>
      <c r="AP113">
        <f t="shared" si="49"/>
        <v>1.3981170968999802E-3</v>
      </c>
      <c r="AQ113">
        <f t="shared" si="50"/>
        <v>2.4520619789740791E-3</v>
      </c>
      <c r="AR113">
        <f t="shared" si="51"/>
        <v>1.4633711209550569E-3</v>
      </c>
    </row>
    <row r="114" spans="25:44" x14ac:dyDescent="0.3">
      <c r="Y114">
        <v>61</v>
      </c>
      <c r="Z114">
        <f t="shared" si="53"/>
        <v>0.25937468344007564</v>
      </c>
      <c r="AA114">
        <f t="shared" si="34"/>
        <v>3.7937225658165832E-5</v>
      </c>
      <c r="AB114">
        <f t="shared" si="35"/>
        <v>1.5845511424559576E-4</v>
      </c>
      <c r="AC114">
        <f t="shared" si="36"/>
        <v>2.2631293409783012E-4</v>
      </c>
      <c r="AD114">
        <f t="shared" si="37"/>
        <v>2.8911340390719888E-3</v>
      </c>
      <c r="AE114">
        <f t="shared" si="38"/>
        <v>4.5504559916529795E-3</v>
      </c>
      <c r="AF114">
        <f t="shared" si="39"/>
        <v>2.637568417214374E-3</v>
      </c>
      <c r="AG114">
        <f t="shared" si="40"/>
        <v>2.8829914470166473E-3</v>
      </c>
      <c r="AH114">
        <f t="shared" si="41"/>
        <v>2.964121246951204E-3</v>
      </c>
      <c r="AI114">
        <f t="shared" si="42"/>
        <v>2.0012995099096269E-3</v>
      </c>
      <c r="AJ114">
        <f t="shared" si="43"/>
        <v>2.3037278577850697E-3</v>
      </c>
      <c r="AK114">
        <f t="shared" si="44"/>
        <v>3.4087771208365864E-3</v>
      </c>
      <c r="AL114">
        <f t="shared" si="45"/>
        <v>5.611288447099818E-3</v>
      </c>
      <c r="AM114">
        <f t="shared" si="46"/>
        <v>2.4352014114812697E-3</v>
      </c>
      <c r="AN114">
        <f t="shared" si="47"/>
        <v>1.0416644177198805E-3</v>
      </c>
      <c r="AO114">
        <f t="shared" si="48"/>
        <v>1.4964605817635354E-3</v>
      </c>
      <c r="AP114">
        <f t="shared" si="49"/>
        <v>1.1703209784671847E-3</v>
      </c>
      <c r="AQ114">
        <f t="shared" si="50"/>
        <v>2.0742813369958014E-3</v>
      </c>
      <c r="AR114">
        <f t="shared" si="51"/>
        <v>1.225916647588675E-3</v>
      </c>
    </row>
    <row r="115" spans="25:44" x14ac:dyDescent="0.3">
      <c r="Y115">
        <v>62</v>
      </c>
      <c r="Z115">
        <f t="shared" si="53"/>
        <v>0.23776012648673592</v>
      </c>
      <c r="AA115">
        <f t="shared" si="34"/>
        <v>2.999201029689607E-5</v>
      </c>
      <c r="AB115">
        <f t="shared" si="35"/>
        <v>1.2832458745999786E-4</v>
      </c>
      <c r="AC115">
        <f t="shared" si="36"/>
        <v>1.8438974879464941E-4</v>
      </c>
      <c r="AD115">
        <f t="shared" si="37"/>
        <v>2.4601070973381423E-3</v>
      </c>
      <c r="AE115">
        <f t="shared" si="38"/>
        <v>3.902272741569659E-3</v>
      </c>
      <c r="AF115">
        <f t="shared" si="39"/>
        <v>2.2406952546399051E-3</v>
      </c>
      <c r="AG115">
        <f t="shared" si="40"/>
        <v>2.4529712932590108E-3</v>
      </c>
      <c r="AH115">
        <f t="shared" si="41"/>
        <v>2.5232210328932471E-3</v>
      </c>
      <c r="AI115">
        <f t="shared" si="42"/>
        <v>1.691915702910773E-3</v>
      </c>
      <c r="AJ115">
        <f t="shared" si="43"/>
        <v>1.9524340736040977E-3</v>
      </c>
      <c r="AK115">
        <f t="shared" si="44"/>
        <v>2.9091394130486624E-3</v>
      </c>
      <c r="AL115">
        <f t="shared" si="45"/>
        <v>4.8316331282029336E-3</v>
      </c>
      <c r="AM115">
        <f t="shared" si="46"/>
        <v>2.065635882995063E-3</v>
      </c>
      <c r="AN115">
        <f t="shared" si="47"/>
        <v>8.7012475405744973E-4</v>
      </c>
      <c r="AO115">
        <f t="shared" si="48"/>
        <v>1.2582868479401835E-3</v>
      </c>
      <c r="AP115">
        <f t="shared" si="49"/>
        <v>9.7963982822132098E-4</v>
      </c>
      <c r="AQ115">
        <f t="shared" si="50"/>
        <v>1.7547040417017828E-3</v>
      </c>
      <c r="AR115">
        <f t="shared" si="51"/>
        <v>1.0269928149560714E-3</v>
      </c>
    </row>
    <row r="116" spans="25:44" x14ac:dyDescent="0.3">
      <c r="Y116">
        <v>63</v>
      </c>
      <c r="Z116">
        <f t="shared" si="53"/>
        <v>0.2179467826128412</v>
      </c>
      <c r="AA116">
        <f t="shared" si="34"/>
        <v>2.3710766036353621E-5</v>
      </c>
      <c r="AB116">
        <f t="shared" si="35"/>
        <v>1.0392343488046373E-4</v>
      </c>
      <c r="AC116">
        <f t="shared" si="36"/>
        <v>1.5023259539314105E-4</v>
      </c>
      <c r="AD116">
        <f t="shared" si="37"/>
        <v>2.0933401387076968E-3</v>
      </c>
      <c r="AE116">
        <f t="shared" si="38"/>
        <v>3.3464190352637652E-3</v>
      </c>
      <c r="AF116">
        <f t="shared" si="39"/>
        <v>1.9035393324387563E-3</v>
      </c>
      <c r="AG116">
        <f t="shared" si="40"/>
        <v>2.0870919238346387E-3</v>
      </c>
      <c r="AH116">
        <f t="shared" si="41"/>
        <v>2.1479028185447525E-3</v>
      </c>
      <c r="AI116">
        <f t="shared" si="42"/>
        <v>1.4303599893877562E-3</v>
      </c>
      <c r="AJ116">
        <f t="shared" si="43"/>
        <v>1.6547088228708352E-3</v>
      </c>
      <c r="AK116">
        <f t="shared" si="44"/>
        <v>2.4827355454897205E-3</v>
      </c>
      <c r="AL116">
        <f t="shared" si="45"/>
        <v>4.1603063014188247E-3</v>
      </c>
      <c r="AM116">
        <f t="shared" si="46"/>
        <v>1.752155522331671E-3</v>
      </c>
      <c r="AN116">
        <f t="shared" si="47"/>
        <v>7.2683397334508723E-4</v>
      </c>
      <c r="AO116">
        <f t="shared" si="48"/>
        <v>1.0580203788818703E-3</v>
      </c>
      <c r="AP116">
        <f t="shared" si="49"/>
        <v>8.20026480508322E-4</v>
      </c>
      <c r="AQ116">
        <f t="shared" si="50"/>
        <v>1.4843629063470715E-3</v>
      </c>
      <c r="AR116">
        <f t="shared" si="51"/>
        <v>8.6034743393522935E-4</v>
      </c>
    </row>
    <row r="117" spans="25:44" x14ac:dyDescent="0.3">
      <c r="Y117">
        <v>64</v>
      </c>
      <c r="Z117">
        <f t="shared" si="53"/>
        <v>0.19978455072843768</v>
      </c>
      <c r="AA117">
        <f t="shared" si="34"/>
        <v>1.874500643556006E-5</v>
      </c>
      <c r="AB117">
        <f t="shared" si="35"/>
        <v>8.4162205631252489E-5</v>
      </c>
      <c r="AC117">
        <f t="shared" si="36"/>
        <v>1.2240286060422333E-4</v>
      </c>
      <c r="AD117">
        <f t="shared" si="37"/>
        <v>1.781252914178493E-3</v>
      </c>
      <c r="AE117">
        <f t="shared" si="38"/>
        <v>2.8697431218175566E-3</v>
      </c>
      <c r="AF117">
        <f t="shared" si="39"/>
        <v>1.6171150372359293E-3</v>
      </c>
      <c r="AG117">
        <f t="shared" si="40"/>
        <v>1.7757862517618246E-3</v>
      </c>
      <c r="AH117">
        <f t="shared" si="41"/>
        <v>1.8284115651265149E-3</v>
      </c>
      <c r="AI117">
        <f t="shared" si="42"/>
        <v>1.2092385546877537E-3</v>
      </c>
      <c r="AJ117">
        <f t="shared" si="43"/>
        <v>1.4023834789116661E-3</v>
      </c>
      <c r="AK117">
        <f t="shared" si="44"/>
        <v>2.1188313496390845E-3</v>
      </c>
      <c r="AL117">
        <f t="shared" si="45"/>
        <v>3.5822563639186598E-3</v>
      </c>
      <c r="AM117">
        <f t="shared" si="46"/>
        <v>1.4862488591096518E-3</v>
      </c>
      <c r="AN117">
        <f t="shared" si="47"/>
        <v>6.0714009381432669E-4</v>
      </c>
      <c r="AO117">
        <f t="shared" si="48"/>
        <v>8.8962792860929009E-4</v>
      </c>
      <c r="AP117">
        <f t="shared" si="49"/>
        <v>6.8641903826611799E-4</v>
      </c>
      <c r="AQ117">
        <f t="shared" si="50"/>
        <v>1.2556722873916903E-3</v>
      </c>
      <c r="AR117">
        <f t="shared" si="51"/>
        <v>7.2074282925786107E-4</v>
      </c>
    </row>
    <row r="118" spans="25:44" x14ac:dyDescent="0.3">
      <c r="Y118">
        <v>65</v>
      </c>
      <c r="Z118">
        <f t="shared" si="53"/>
        <v>0.18313583816773449</v>
      </c>
      <c r="AA118">
        <f t="shared" si="34"/>
        <v>1.4819228772721026E-5</v>
      </c>
      <c r="AB118">
        <f t="shared" si="35"/>
        <v>6.8158609892606545E-5</v>
      </c>
      <c r="AC118">
        <f t="shared" si="36"/>
        <v>9.9728426077507279E-5</v>
      </c>
      <c r="AD118">
        <f t="shared" si="37"/>
        <v>1.5156934535388545E-3</v>
      </c>
      <c r="AE118">
        <f t="shared" si="38"/>
        <v>2.4609666328204043E-3</v>
      </c>
      <c r="AF118">
        <f t="shared" si="39"/>
        <v>1.3737888149147016E-3</v>
      </c>
      <c r="AG118">
        <f t="shared" si="40"/>
        <v>1.5109141940200218E-3</v>
      </c>
      <c r="AH118">
        <f t="shared" si="41"/>
        <v>1.556443253681934E-3</v>
      </c>
      <c r="AI118">
        <f t="shared" si="42"/>
        <v>1.0223006047374303E-3</v>
      </c>
      <c r="AJ118">
        <f t="shared" si="43"/>
        <v>1.1885350429885898E-3</v>
      </c>
      <c r="AK118">
        <f t="shared" si="44"/>
        <v>1.8082660057649595E-3</v>
      </c>
      <c r="AL118">
        <f t="shared" si="45"/>
        <v>3.0845230440026349E-3</v>
      </c>
      <c r="AM118">
        <f t="shared" si="46"/>
        <v>1.2606961214637004E-3</v>
      </c>
      <c r="AN118">
        <f t="shared" si="47"/>
        <v>5.0715721476306925E-4</v>
      </c>
      <c r="AO118">
        <f t="shared" si="48"/>
        <v>7.4803649075082842E-4</v>
      </c>
      <c r="AP118">
        <f t="shared" si="49"/>
        <v>5.7458034257882803E-4</v>
      </c>
      <c r="AQ118">
        <f t="shared" si="50"/>
        <v>1.0622152349546892E-3</v>
      </c>
      <c r="AR118">
        <f t="shared" si="51"/>
        <v>6.0379121903179206E-4</v>
      </c>
    </row>
    <row r="119" spans="25:44" x14ac:dyDescent="0.3">
      <c r="Y119">
        <v>66</v>
      </c>
      <c r="Z119">
        <f t="shared" si="53"/>
        <v>0.16787451832042319</v>
      </c>
      <c r="AA119">
        <f t="shared" si="34"/>
        <v>1.1715629022225046E-5</v>
      </c>
      <c r="AB119">
        <f t="shared" si="35"/>
        <v>5.519812685098458E-5</v>
      </c>
      <c r="AC119">
        <f t="shared" si="36"/>
        <v>8.1254301727926042E-5</v>
      </c>
      <c r="AD119">
        <f t="shared" si="37"/>
        <v>1.2897251293256453E-3</v>
      </c>
      <c r="AE119">
        <f t="shared" si="38"/>
        <v>2.1104177310544772E-3</v>
      </c>
      <c r="AF119">
        <f t="shared" si="39"/>
        <v>1.1670757271607733E-3</v>
      </c>
      <c r="AG119">
        <f t="shared" si="40"/>
        <v>1.2855498230298038E-3</v>
      </c>
      <c r="AH119">
        <f t="shared" si="41"/>
        <v>1.3249290521548339E-3</v>
      </c>
      <c r="AI119">
        <f t="shared" si="42"/>
        <v>8.6426166482624306E-4</v>
      </c>
      <c r="AJ119">
        <f t="shared" si="43"/>
        <v>1.0072961994020077E-3</v>
      </c>
      <c r="AK119">
        <f t="shared" si="44"/>
        <v>1.5432214310790364E-3</v>
      </c>
      <c r="AL119">
        <f t="shared" si="45"/>
        <v>2.6559468230173034E-3</v>
      </c>
      <c r="AM119">
        <f t="shared" si="46"/>
        <v>1.0693732082161069E-3</v>
      </c>
      <c r="AN119">
        <f t="shared" si="47"/>
        <v>4.2363935952629086E-4</v>
      </c>
      <c r="AO119">
        <f t="shared" si="48"/>
        <v>6.2898046868823309E-4</v>
      </c>
      <c r="AP119">
        <f t="shared" si="49"/>
        <v>4.8096359755979098E-4</v>
      </c>
      <c r="AQ119">
        <f t="shared" si="50"/>
        <v>8.9856343625579181E-4</v>
      </c>
      <c r="AR119">
        <f t="shared" si="51"/>
        <v>5.0581680646796562E-4</v>
      </c>
    </row>
    <row r="120" spans="25:44" x14ac:dyDescent="0.3">
      <c r="Y120">
        <v>67</v>
      </c>
      <c r="Z120">
        <f t="shared" ref="Z120:Z123" si="54">$AI$31*EXP($AJ$31*Y120)</f>
        <v>0.15388497512705457</v>
      </c>
      <c r="AA120">
        <f t="shared" si="34"/>
        <v>9.2620179829506308E-6</v>
      </c>
      <c r="AB120">
        <f t="shared" si="35"/>
        <v>4.4702103118859134E-5</v>
      </c>
      <c r="AC120">
        <f t="shared" si="36"/>
        <v>6.6202403958142043E-5</v>
      </c>
      <c r="AD120">
        <f t="shared" si="37"/>
        <v>1.0974454665159058E-3</v>
      </c>
      <c r="AE120">
        <f t="shared" si="38"/>
        <v>1.809802270437431E-3</v>
      </c>
      <c r="AF120">
        <f t="shared" si="39"/>
        <v>9.9146662000768743E-4</v>
      </c>
      <c r="AG120">
        <f t="shared" si="40"/>
        <v>1.0938002661123056E-3</v>
      </c>
      <c r="AH120">
        <f t="shared" si="41"/>
        <v>1.1278515866808688E-3</v>
      </c>
      <c r="AI120">
        <f t="shared" si="42"/>
        <v>7.3065419488828017E-4</v>
      </c>
      <c r="AJ120">
        <f t="shared" si="43"/>
        <v>8.5369433515261671E-4</v>
      </c>
      <c r="AK120">
        <f t="shared" si="44"/>
        <v>1.3170254695653377E-3</v>
      </c>
      <c r="AL120">
        <f t="shared" si="45"/>
        <v>2.2869187313776782E-3</v>
      </c>
      <c r="AM120">
        <f t="shared" si="46"/>
        <v>9.0708541018013928E-4</v>
      </c>
      <c r="AN120">
        <f t="shared" si="47"/>
        <v>3.5387509378859931E-4</v>
      </c>
      <c r="AO120">
        <f t="shared" si="48"/>
        <v>5.2887316980242106E-4</v>
      </c>
      <c r="AP120">
        <f t="shared" si="49"/>
        <v>4.0259988905889173E-4</v>
      </c>
      <c r="AQ120">
        <f t="shared" si="50"/>
        <v>7.6012489974337154E-4</v>
      </c>
      <c r="AR120">
        <f t="shared" si="51"/>
        <v>4.2374024934599088E-4</v>
      </c>
    </row>
    <row r="121" spans="25:44" x14ac:dyDescent="0.3">
      <c r="Y121">
        <v>68</v>
      </c>
      <c r="Z121">
        <f t="shared" si="54"/>
        <v>0.14106122719979994</v>
      </c>
      <c r="AA121">
        <f t="shared" ref="AA121:AA123" si="55">$AI$32*EXP($AJ$32*$Y121)</f>
        <v>7.3222681388906463E-6</v>
      </c>
      <c r="AB121">
        <f t="shared" si="35"/>
        <v>3.620191729773287E-5</v>
      </c>
      <c r="AC121">
        <f t="shared" si="36"/>
        <v>5.3938784736743669E-5</v>
      </c>
      <c r="AD121">
        <f t="shared" si="37"/>
        <v>9.3383196511496059E-4</v>
      </c>
      <c r="AE121">
        <f t="shared" si="38"/>
        <v>1.5520075527625185E-3</v>
      </c>
      <c r="AF121">
        <f t="shared" si="39"/>
        <v>8.4228129821609522E-4</v>
      </c>
      <c r="AG121">
        <f t="shared" si="40"/>
        <v>9.3065161747497187E-4</v>
      </c>
      <c r="AH121">
        <f t="shared" si="41"/>
        <v>9.6008854172963034E-4</v>
      </c>
      <c r="AI121">
        <f t="shared" si="42"/>
        <v>6.1770129838533306E-4</v>
      </c>
      <c r="AJ121">
        <f t="shared" si="43"/>
        <v>7.2351510737787427E-4</v>
      </c>
      <c r="AK121">
        <f t="shared" si="44"/>
        <v>1.1239839290405496E-3</v>
      </c>
      <c r="AL121">
        <f t="shared" si="45"/>
        <v>1.9691649089511932E-3</v>
      </c>
      <c r="AM121">
        <f t="shared" si="46"/>
        <v>7.6942636587487004E-4</v>
      </c>
      <c r="AN121">
        <f t="shared" si="47"/>
        <v>2.9559949798790733E-4</v>
      </c>
      <c r="AO121">
        <f t="shared" si="48"/>
        <v>4.4469875244330177E-4</v>
      </c>
      <c r="AP121">
        <f t="shared" si="49"/>
        <v>3.3700403001930341E-4</v>
      </c>
      <c r="AQ121">
        <f t="shared" si="50"/>
        <v>6.4301510599791708E-4</v>
      </c>
      <c r="AR121">
        <f t="shared" si="51"/>
        <v>3.549818760859504E-4</v>
      </c>
    </row>
    <row r="122" spans="25:44" x14ac:dyDescent="0.3">
      <c r="Y122">
        <v>69</v>
      </c>
      <c r="Z122">
        <f t="shared" si="54"/>
        <v>0.12930612493314991</v>
      </c>
      <c r="AA122">
        <f t="shared" si="55"/>
        <v>5.7887612393441377E-6</v>
      </c>
      <c r="AB122">
        <f t="shared" ref="AB122:AB123" si="56">$AI$33*EXP($AJ$33*$Y122)</f>
        <v>2.9318057196261476E-5</v>
      </c>
      <c r="AC122">
        <f t="shared" si="36"/>
        <v>4.3946931303526392E-5</v>
      </c>
      <c r="AD122">
        <f t="shared" si="37"/>
        <v>7.9461090840255463E-4</v>
      </c>
      <c r="AE122">
        <f t="shared" si="38"/>
        <v>1.3309340380315167E-3</v>
      </c>
      <c r="AF122">
        <f t="shared" si="39"/>
        <v>7.1554379240633327E-4</v>
      </c>
      <c r="AG122">
        <f t="shared" si="40"/>
        <v>7.9183783359936899E-4</v>
      </c>
      <c r="AH122">
        <f t="shared" si="41"/>
        <v>8.1727952404906778E-4</v>
      </c>
      <c r="AI122">
        <f t="shared" si="42"/>
        <v>5.2220995471772733E-4</v>
      </c>
      <c r="AJ122">
        <f t="shared" si="43"/>
        <v>6.1318681529078383E-4</v>
      </c>
      <c r="AK122">
        <f t="shared" si="44"/>
        <v>9.5923723719509987E-4</v>
      </c>
      <c r="AL122">
        <f t="shared" si="45"/>
        <v>1.6955610995012596E-3</v>
      </c>
      <c r="AM122">
        <f t="shared" si="46"/>
        <v>6.5265842208380364E-4</v>
      </c>
      <c r="AN122">
        <f t="shared" si="47"/>
        <v>2.4692063596570043E-4</v>
      </c>
      <c r="AO122">
        <f t="shared" si="48"/>
        <v>3.7392137040815975E-4</v>
      </c>
      <c r="AP122">
        <f t="shared" si="49"/>
        <v>2.8209574651084571E-4</v>
      </c>
      <c r="AQ122">
        <f t="shared" si="50"/>
        <v>5.4394800996665829E-4</v>
      </c>
      <c r="AR122">
        <f t="shared" si="51"/>
        <v>2.9738060650124856E-4</v>
      </c>
    </row>
    <row r="123" spans="25:44" x14ac:dyDescent="0.3">
      <c r="Y123">
        <v>70</v>
      </c>
      <c r="Z123">
        <f t="shared" si="54"/>
        <v>0.11853061452205405</v>
      </c>
      <c r="AA123">
        <f t="shared" si="55"/>
        <v>4.5764175868066574E-6</v>
      </c>
      <c r="AB123">
        <f t="shared" si="56"/>
        <v>2.3743175553221035E-5</v>
      </c>
      <c r="AC123">
        <f t="shared" ref="AC123" si="57">$AI$34*EXP($AJ$34*$Y123)</f>
        <v>3.5806011952679876E-5</v>
      </c>
      <c r="AD123">
        <f t="shared" si="37"/>
        <v>6.7614573000250935E-4</v>
      </c>
      <c r="AE123">
        <f t="shared" si="38"/>
        <v>1.1413510265706347E-3</v>
      </c>
      <c r="AF123">
        <f t="shared" si="39"/>
        <v>6.0787639466248545E-4</v>
      </c>
      <c r="AG123">
        <f t="shared" si="40"/>
        <v>6.7372918388142601E-4</v>
      </c>
      <c r="AH123">
        <f t="shared" si="41"/>
        <v>6.957127300223217E-4</v>
      </c>
      <c r="AI123">
        <f t="shared" si="42"/>
        <v>4.4148075699231281E-4</v>
      </c>
      <c r="AJ123">
        <f t="shared" si="43"/>
        <v>5.1968240415756781E-4</v>
      </c>
      <c r="AK123">
        <f t="shared" si="44"/>
        <v>8.1863810811523866E-4</v>
      </c>
      <c r="AL123">
        <f t="shared" si="45"/>
        <v>1.4599729200299198E-3</v>
      </c>
      <c r="AM123">
        <f t="shared" si="46"/>
        <v>5.5361115086377706E-4</v>
      </c>
      <c r="AN123">
        <f t="shared" si="47"/>
        <v>2.0625813264473156E-4</v>
      </c>
      <c r="AO123">
        <f t="shared" si="48"/>
        <v>3.1440877780682076E-4</v>
      </c>
      <c r="AP123">
        <f>$S123*EXP($T123*$Y123)</f>
        <v>0</v>
      </c>
      <c r="AQ123">
        <f t="shared" si="50"/>
        <v>4.6014383610397906E-4</v>
      </c>
      <c r="AR123">
        <f t="shared" si="51"/>
        <v>2.49126028906439E-4</v>
      </c>
    </row>
  </sheetData>
  <mergeCells count="1">
    <mergeCell ref="W4:X4"/>
  </mergeCells>
  <conditionalFormatting sqref="F6:F25 P6:P25 U6:U25 K6:K25">
    <cfRule type="cellIs" dxfId="1" priority="1" operator="equal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Core Data</vt:lpstr>
      <vt:lpstr>Ema Emi Hma Hmi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Ash Tyndall</cp:lastModifiedBy>
  <dcterms:created xsi:type="dcterms:W3CDTF">2014-08-27T10:21:01Z</dcterms:created>
  <dcterms:modified xsi:type="dcterms:W3CDTF">2014-09-04T11:21:26Z</dcterms:modified>
</cp:coreProperties>
</file>